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D:\Dataset\tbc\"/>
    </mc:Choice>
  </mc:AlternateContent>
  <xr:revisionPtr revIDLastSave="28" documentId="13_ncr:1_{EA76DC8D-0E6E-40E7-8BFF-383F00BF10F6}" xr6:coauthVersionLast="47" xr6:coauthVersionMax="47" xr10:uidLastSave="{55F07B3A-60A0-49FE-B866-26D6E5D9FA09}"/>
  <bookViews>
    <workbookView xWindow="-110" yWindow="-110" windowWidth="19420" windowHeight="10300" firstSheet="3" activeTab="3" xr2:uid="{00000000-000D-0000-FFFF-FFFF00000000}"/>
  </bookViews>
  <sheets>
    <sheet name="Laporan_tbc_perkota" sheetId="15" r:id="rId1"/>
    <sheet name="tbc_anak_dewasa" sheetId="16" r:id="rId2"/>
    <sheet name="Dataset" sheetId="1" r:id="rId3"/>
    <sheet name="Visualisasi" sheetId="2" r:id="rId4"/>
  </sheets>
  <definedNames>
    <definedName name="Slicer_nama_kabupaten_kota1">#N/A</definedName>
  </definedNames>
  <calcPr calcId="191028"/>
  <pivotCaches>
    <pivotCache cacheId="31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2" i="1"/>
  <c r="C6" i="2" a="1"/>
  <c r="C6" i="2" s="1"/>
  <c r="D12" i="15"/>
  <c r="E11" i="15"/>
  <c r="E12" i="1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<sst xmlns="http://schemas.openxmlformats.org/spreadsheetml/2006/main" count="215" uniqueCount="46">
  <si>
    <t>nama_kabupaten_kota</t>
  </si>
  <si>
    <t>KOTA DEPOK</t>
  </si>
  <si>
    <t>Row Labels</t>
  </si>
  <si>
    <t>Jumlah Diobati</t>
  </si>
  <si>
    <t>Jumlah Sembuh</t>
  </si>
  <si>
    <t>Jumlah Kematian</t>
  </si>
  <si>
    <t>Total Pengidap tbc</t>
  </si>
  <si>
    <t>Grand Total</t>
  </si>
  <si>
    <t>Sum of jumlah_dewasa</t>
  </si>
  <si>
    <t>Sum of jumlah_anak</t>
  </si>
  <si>
    <t>jumlah_total</t>
  </si>
  <si>
    <t>tahun</t>
  </si>
  <si>
    <t>total_sembuh</t>
  </si>
  <si>
    <t>jumlah_kematian</t>
  </si>
  <si>
    <t>jumlah_anak</t>
  </si>
  <si>
    <t>total_diobati</t>
  </si>
  <si>
    <t>jumlah_dewasa</t>
  </si>
  <si>
    <t>Total</t>
  </si>
  <si>
    <t>KABUPATEN BOGOR</t>
  </si>
  <si>
    <t>KABUPATEN PANGANDARAN</t>
  </si>
  <si>
    <t>KABUPATEN SUKABUMI</t>
  </si>
  <si>
    <t>KOTA BANJAR</t>
  </si>
  <si>
    <t>KABUPATEN CIANJUR</t>
  </si>
  <si>
    <t>KOTA SUKABUMI</t>
  </si>
  <si>
    <t>KABUPATEN BANDUNG</t>
  </si>
  <si>
    <t>KABUPATEN CIAMIS</t>
  </si>
  <si>
    <t>KABUPATEN GARUT</t>
  </si>
  <si>
    <t>KABUPATEN SUMEDANG</t>
  </si>
  <si>
    <t>KABUPATEN TASIKMALAYA</t>
  </si>
  <si>
    <t>KOTA CIREBON</t>
  </si>
  <si>
    <t>KABUPATEN KUNINGAN</t>
  </si>
  <si>
    <t>KOTA TASIKMALAYA</t>
  </si>
  <si>
    <t>KABUPATEN CIREBON</t>
  </si>
  <si>
    <t>KABUPATEN BANDUNG BARAT</t>
  </si>
  <si>
    <t>KABUPATEN MAJALENGKA</t>
  </si>
  <si>
    <t>KABUPATEN INDRAMAYU</t>
  </si>
  <si>
    <t>KABUPATEN SUBANG</t>
  </si>
  <si>
    <t>KOTA CIMAHI</t>
  </si>
  <si>
    <t>KABUPATEN PURWAKARTA</t>
  </si>
  <si>
    <t>KABUPATEN KARAWANG</t>
  </si>
  <si>
    <t>KABUPATEN BEKASI</t>
  </si>
  <si>
    <t>KOTA BOGOR</t>
  </si>
  <si>
    <t>KOTA BANDUNG</t>
  </si>
  <si>
    <t>KOTA BEKASI</t>
  </si>
  <si>
    <t>Kabupaten/Kota</t>
  </si>
  <si>
    <t>Total Pengidap 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</si>
</sst>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3"/>
      <color theme="3"/>
      <name val="Calibri"/>
      <family val="2"/>
      <scheme val="minor"/>
    </font>
    <font>
      <b/>
      <sz val="11"/>
      <name val="Calibri"/>
      <family val="2"/>
    </font>
    <font>
      <sz val="8"/>
      <color theme="1"/>
      <name val="Calibri"/>
      <family val="2"/>
      <scheme val="minor"/>
    </font>
    <font>
      <b/>
      <sz val="9"/>
      <color theme="1"/>
      <name val="Calibri"/>
      <family val="2"/>
      <scheme val="minor"/>
    </font>
    <font>
      <sz val="11"/>
      <color theme="0"/>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style="thin">
        <color auto="1"/>
      </left>
      <right/>
      <top style="thin">
        <color auto="1"/>
      </top>
      <bottom style="thin">
        <color auto="1"/>
      </bottom>
      <diagonal/>
    </border>
  </borders>
  <cellStyleXfs count="2">
    <xf numFmtId="0" fontId="0" fillId="0" borderId="0"/>
    <xf numFmtId="0" fontId="1" fillId="0" borderId="2" applyNumberFormat="0" applyFill="0" applyAlignment="0" applyProtection="0"/>
  </cellStyleXfs>
  <cellXfs count="13">
    <xf numFmtId="0" fontId="0" fillId="0" borderId="0" xfId="0"/>
    <xf numFmtId="0" fontId="0" fillId="0" borderId="0" xfId="0" pivotButton="1"/>
    <xf numFmtId="0" fontId="0" fillId="0" borderId="0" xfId="0" applyAlignment="1">
      <alignment horizontal="left"/>
    </xf>
    <xf numFmtId="0" fontId="2" fillId="0" borderId="1" xfId="0" applyFont="1" applyBorder="1" applyAlignment="1">
      <alignment horizontal="center" vertical="top"/>
    </xf>
    <xf numFmtId="0" fontId="2" fillId="0" borderId="0" xfId="0" applyFont="1" applyAlignment="1">
      <alignment horizontal="center" vertical="top"/>
    </xf>
    <xf numFmtId="0" fontId="3" fillId="0" borderId="0" xfId="0" applyFont="1"/>
    <xf numFmtId="0" fontId="3" fillId="0" borderId="0" xfId="0" applyFont="1" applyAlignment="1">
      <alignment horizontal="center"/>
    </xf>
    <xf numFmtId="0" fontId="4" fillId="2" borderId="0" xfId="1" applyFont="1" applyFill="1" applyBorder="1" applyAlignment="1">
      <alignment horizontal="center" vertical="center"/>
    </xf>
    <xf numFmtId="0" fontId="0" fillId="3" borderId="0" xfId="0" applyFill="1"/>
    <xf numFmtId="0" fontId="2" fillId="0" borderId="3" xfId="0" applyFont="1" applyBorder="1" applyAlignment="1">
      <alignment horizontal="center" vertical="top"/>
    </xf>
    <xf numFmtId="0" fontId="5" fillId="0" borderId="0" xfId="0" applyFont="1"/>
    <xf numFmtId="0" fontId="6" fillId="0" borderId="0" xfId="0" applyFont="1"/>
    <xf numFmtId="0" fontId="0" fillId="0" borderId="0" xfId="0" applyNumberFormat="1"/>
  </cellXfs>
  <cellStyles count="2">
    <cellStyle name="Heading 2" xfId="1" builtinId="17"/>
    <cellStyle name="Normal" xfId="0" builtinId="0"/>
  </cellStyles>
  <dxfs count="0"/>
  <tableStyles count="0" defaultTableStyle="TableStyleMedium9" defaultPivotStyle="PivotStyleLight16"/>
  <colors>
    <mruColors>
      <color rgb="FFFFFFFF"/>
      <color rgb="FFEDF2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Angka</a:t>
            </a:r>
            <a:r>
              <a:rPr lang="en-US" sz="2000" b="1" baseline="0"/>
              <a:t> Laporan Kasus TBC setiap </a:t>
            </a:r>
            <a:r>
              <a:rPr lang="en-US" sz="2000" b="1"/>
              <a:t>kota/Kabupaten di Jawa Barat</a:t>
            </a:r>
          </a:p>
        </c:rich>
      </c:tx>
      <c:layout>
        <c:manualLayout>
          <c:xMode val="edge"/>
          <c:yMode val="edge"/>
          <c:x val="0.20811013997602099"/>
          <c:y val="3.61920414893413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771419970385117"/>
          <c:y val="0.21743291050590938"/>
          <c:w val="0.61497606704116647"/>
          <c:h val="0.67960319889372556"/>
        </c:manualLayout>
      </c:layout>
      <c:barChart>
        <c:barDir val="bar"/>
        <c:grouping val="stacked"/>
        <c:varyColors val="0"/>
        <c:ser>
          <c:idx val="0"/>
          <c:order val="0"/>
          <c:tx>
            <c:strRef>
              <c:f>Visualisasi!$D$5</c:f>
              <c:strCache>
                <c:ptCount val="1"/>
                <c:pt idx="0">
                  <c:v>Total Pengidap TBC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Visualisasi!$C$6:$C$15</c:f>
              <c:strCache>
                <c:ptCount val="10"/>
                <c:pt idx="0">
                  <c:v>KABUPATEN PANGANDARAN</c:v>
                </c:pt>
                <c:pt idx="1">
                  <c:v>KOTA BANJAR</c:v>
                </c:pt>
                <c:pt idx="2">
                  <c:v>KOTA SUKABUMI</c:v>
                </c:pt>
                <c:pt idx="3">
                  <c:v>KABUPATEN CIAMIS</c:v>
                </c:pt>
                <c:pt idx="4">
                  <c:v>KABUPATEN SUMEDANG</c:v>
                </c:pt>
                <c:pt idx="5">
                  <c:v>KOTA CIREBON</c:v>
                </c:pt>
                <c:pt idx="6">
                  <c:v>KABUPATEN KUNINGAN</c:v>
                </c:pt>
                <c:pt idx="7">
                  <c:v>KOTA TASIKMALAYA</c:v>
                </c:pt>
                <c:pt idx="8">
                  <c:v>KABUPATEN BANDUNG BARAT</c:v>
                </c:pt>
                <c:pt idx="9">
                  <c:v>KABUPATEN MAJALENGKA</c:v>
                </c:pt>
              </c:strCache>
            </c:strRef>
          </c:cat>
          <c:val>
            <c:numRef>
              <c:f>Visualisasi!$D$6:$D$15</c:f>
              <c:numCache>
                <c:formatCode>General</c:formatCode>
                <c:ptCount val="10"/>
                <c:pt idx="0">
                  <c:v>3742</c:v>
                </c:pt>
                <c:pt idx="1">
                  <c:v>4865</c:v>
                </c:pt>
                <c:pt idx="2">
                  <c:v>13557</c:v>
                </c:pt>
                <c:pt idx="3">
                  <c:v>13989</c:v>
                </c:pt>
                <c:pt idx="4">
                  <c:v>14217</c:v>
                </c:pt>
                <c:pt idx="5">
                  <c:v>15799</c:v>
                </c:pt>
                <c:pt idx="6">
                  <c:v>16061</c:v>
                </c:pt>
                <c:pt idx="7">
                  <c:v>16153</c:v>
                </c:pt>
                <c:pt idx="8">
                  <c:v>17090</c:v>
                </c:pt>
                <c:pt idx="9">
                  <c:v>17637</c:v>
                </c:pt>
              </c:numCache>
            </c:numRef>
          </c:val>
          <c:extLst>
            <c:ext xmlns:c16="http://schemas.microsoft.com/office/drawing/2014/chart" uri="{C3380CC4-5D6E-409C-BE32-E72D297353CC}">
              <c16:uniqueId val="{00000000-7FC2-435B-93FA-E8BD5F7C8D80}"/>
            </c:ext>
          </c:extLst>
        </c:ser>
        <c:dLbls>
          <c:showLegendKey val="0"/>
          <c:showVal val="0"/>
          <c:showCatName val="0"/>
          <c:showSerName val="0"/>
          <c:showPercent val="0"/>
          <c:showBubbleSize val="0"/>
        </c:dLbls>
        <c:gapWidth val="150"/>
        <c:overlap val="100"/>
        <c:axId val="196675487"/>
        <c:axId val="196679327"/>
      </c:barChart>
      <c:catAx>
        <c:axId val="19667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9327"/>
        <c:crosses val="autoZero"/>
        <c:auto val="1"/>
        <c:lblAlgn val="ctr"/>
        <c:lblOffset val="100"/>
        <c:noMultiLvlLbl val="0"/>
      </c:catAx>
      <c:valAx>
        <c:axId val="19667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[Kasus_tbc_jawa_barat.xlsx]Laporan_tbc_perkota!PivotTable1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Evolusi Kasus TBC dan Hasil Penanganannya (2019–2024)</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190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1"/>
            </a:solidFill>
            <a:round/>
            <a:tailEnd w="sm" len="sm"/>
          </a:ln>
          <a:effectLst/>
        </c:spPr>
        <c:marker>
          <c:symbol val="circle"/>
          <c:size val="5"/>
          <c:spPr>
            <a:solidFill>
              <a:schemeClr val="accent4"/>
            </a:solidFill>
            <a:ln w="317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chemeClr val="accent1"/>
            </a:solidFill>
            <a:round/>
            <a:tailEnd w="sm" len="sm"/>
          </a:ln>
          <a:effectLst/>
        </c:spPr>
        <c:marker>
          <c:symbol val="circle"/>
          <c:size val="5"/>
          <c:spPr>
            <a:solidFill>
              <a:schemeClr val="accent4"/>
            </a:solidFill>
            <a:ln w="317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58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5400" cap="rnd">
            <a:solidFill>
              <a:schemeClr val="accent1"/>
            </a:solidFill>
            <a:round/>
            <a:tailEnd w="sm" len="sm"/>
          </a:ln>
          <a:effectLst/>
        </c:spPr>
        <c:marker>
          <c:symbol val="circle"/>
          <c:size val="5"/>
          <c:spPr>
            <a:solidFill>
              <a:schemeClr val="accent4"/>
            </a:solidFill>
            <a:ln w="317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8978962938018"/>
          <c:y val="0.14431078159266675"/>
          <c:w val="0.87419980522266838"/>
          <c:h val="0.65806222796044744"/>
        </c:manualLayout>
      </c:layout>
      <c:lineChart>
        <c:grouping val="standard"/>
        <c:varyColors val="0"/>
        <c:ser>
          <c:idx val="0"/>
          <c:order val="0"/>
          <c:tx>
            <c:strRef>
              <c:f>Laporan_tbc_perkota!$B$3</c:f>
              <c:strCache>
                <c:ptCount val="1"/>
                <c:pt idx="0">
                  <c:v>Jumlah Diobati</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cat>
            <c:strRef>
              <c:f>Laporan_tbc_perkota!$A$4:$A$10</c:f>
              <c:strCache>
                <c:ptCount val="6"/>
                <c:pt idx="0">
                  <c:v>2019</c:v>
                </c:pt>
                <c:pt idx="1">
                  <c:v>2020</c:v>
                </c:pt>
                <c:pt idx="2">
                  <c:v>2021</c:v>
                </c:pt>
                <c:pt idx="3">
                  <c:v>2022</c:v>
                </c:pt>
                <c:pt idx="4">
                  <c:v>2023</c:v>
                </c:pt>
                <c:pt idx="5">
                  <c:v>2024</c:v>
                </c:pt>
              </c:strCache>
            </c:strRef>
          </c:cat>
          <c:val>
            <c:numRef>
              <c:f>Laporan_tbc_perkota!$B$4:$B$10</c:f>
              <c:numCache>
                <c:formatCode>General</c:formatCode>
                <c:ptCount val="6"/>
                <c:pt idx="0">
                  <c:v>3799</c:v>
                </c:pt>
                <c:pt idx="1">
                  <c:v>4695</c:v>
                </c:pt>
                <c:pt idx="2">
                  <c:v>3410</c:v>
                </c:pt>
                <c:pt idx="3">
                  <c:v>4020</c:v>
                </c:pt>
                <c:pt idx="4">
                  <c:v>6636</c:v>
                </c:pt>
                <c:pt idx="5">
                  <c:v>7258</c:v>
                </c:pt>
              </c:numCache>
            </c:numRef>
          </c:val>
          <c:smooth val="0"/>
          <c:extLst>
            <c:ext xmlns:c16="http://schemas.microsoft.com/office/drawing/2014/chart" uri="{C3380CC4-5D6E-409C-BE32-E72D297353CC}">
              <c16:uniqueId val="{00000000-2270-4897-8DE2-C6CC7DC42602}"/>
            </c:ext>
          </c:extLst>
        </c:ser>
        <c:ser>
          <c:idx val="1"/>
          <c:order val="1"/>
          <c:tx>
            <c:strRef>
              <c:f>Laporan_tbc_perkota!$C$3</c:f>
              <c:strCache>
                <c:ptCount val="1"/>
                <c:pt idx="0">
                  <c:v>Jumlah Sembuh</c:v>
                </c:pt>
              </c:strCache>
            </c:strRef>
          </c:tx>
          <c:spPr>
            <a:ln w="15875" cap="rnd">
              <a:solidFill>
                <a:srgbClr val="00B050"/>
              </a:solidFill>
              <a:round/>
            </a:ln>
            <a:effectLst/>
          </c:spPr>
          <c:marker>
            <c:symbol val="circle"/>
            <c:size val="5"/>
            <c:spPr>
              <a:solidFill>
                <a:srgbClr val="00B050"/>
              </a:solidFill>
              <a:ln w="9525">
                <a:solidFill>
                  <a:srgbClr val="00B050"/>
                </a:solidFill>
              </a:ln>
              <a:effectLst/>
            </c:spPr>
          </c:marker>
          <c:cat>
            <c:strRef>
              <c:f>Laporan_tbc_perkota!$A$4:$A$10</c:f>
              <c:strCache>
                <c:ptCount val="6"/>
                <c:pt idx="0">
                  <c:v>2019</c:v>
                </c:pt>
                <c:pt idx="1">
                  <c:v>2020</c:v>
                </c:pt>
                <c:pt idx="2">
                  <c:v>2021</c:v>
                </c:pt>
                <c:pt idx="3">
                  <c:v>2022</c:v>
                </c:pt>
                <c:pt idx="4">
                  <c:v>2023</c:v>
                </c:pt>
                <c:pt idx="5">
                  <c:v>2024</c:v>
                </c:pt>
              </c:strCache>
            </c:strRef>
          </c:cat>
          <c:val>
            <c:numRef>
              <c:f>Laporan_tbc_perkota!$C$4:$C$10</c:f>
              <c:numCache>
                <c:formatCode>General</c:formatCode>
                <c:ptCount val="6"/>
                <c:pt idx="0">
                  <c:v>3395</c:v>
                </c:pt>
                <c:pt idx="1">
                  <c:v>4178</c:v>
                </c:pt>
                <c:pt idx="2">
                  <c:v>2945</c:v>
                </c:pt>
                <c:pt idx="3">
                  <c:v>3384</c:v>
                </c:pt>
                <c:pt idx="4">
                  <c:v>5426</c:v>
                </c:pt>
                <c:pt idx="5">
                  <c:v>5840</c:v>
                </c:pt>
              </c:numCache>
            </c:numRef>
          </c:val>
          <c:smooth val="0"/>
          <c:extLst>
            <c:ext xmlns:c16="http://schemas.microsoft.com/office/drawing/2014/chart" uri="{C3380CC4-5D6E-409C-BE32-E72D297353CC}">
              <c16:uniqueId val="{00000001-2270-4897-8DE2-C6CC7DC42602}"/>
            </c:ext>
          </c:extLst>
        </c:ser>
        <c:ser>
          <c:idx val="2"/>
          <c:order val="2"/>
          <c:tx>
            <c:strRef>
              <c:f>Laporan_tbc_perkota!$D$3</c:f>
              <c:strCache>
                <c:ptCount val="1"/>
                <c:pt idx="0">
                  <c:v>Jumlah Kematian</c:v>
                </c:pt>
              </c:strCache>
            </c:strRef>
          </c:tx>
          <c:spPr>
            <a:ln w="19050" cap="rnd">
              <a:solidFill>
                <a:srgbClr val="FF0000"/>
              </a:solidFill>
              <a:round/>
            </a:ln>
            <a:effectLst/>
          </c:spPr>
          <c:marker>
            <c:symbol val="circle"/>
            <c:size val="5"/>
            <c:spPr>
              <a:solidFill>
                <a:srgbClr val="FF0000"/>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Laporan_tbc_perkota!$A$4:$A$10</c:f>
              <c:strCache>
                <c:ptCount val="6"/>
                <c:pt idx="0">
                  <c:v>2019</c:v>
                </c:pt>
                <c:pt idx="1">
                  <c:v>2020</c:v>
                </c:pt>
                <c:pt idx="2">
                  <c:v>2021</c:v>
                </c:pt>
                <c:pt idx="3">
                  <c:v>2022</c:v>
                </c:pt>
                <c:pt idx="4">
                  <c:v>2023</c:v>
                </c:pt>
                <c:pt idx="5">
                  <c:v>2024</c:v>
                </c:pt>
              </c:strCache>
            </c:strRef>
          </c:cat>
          <c:val>
            <c:numRef>
              <c:f>Laporan_tbc_perkota!$D$4:$D$10</c:f>
              <c:numCache>
                <c:formatCode>General</c:formatCode>
                <c:ptCount val="6"/>
                <c:pt idx="0">
                  <c:v>76</c:v>
                </c:pt>
                <c:pt idx="1">
                  <c:v>88</c:v>
                </c:pt>
                <c:pt idx="2">
                  <c:v>60</c:v>
                </c:pt>
                <c:pt idx="3">
                  <c:v>123</c:v>
                </c:pt>
                <c:pt idx="4">
                  <c:v>181</c:v>
                </c:pt>
                <c:pt idx="5">
                  <c:v>314</c:v>
                </c:pt>
              </c:numCache>
            </c:numRef>
          </c:val>
          <c:smooth val="0"/>
          <c:extLst>
            <c:ext xmlns:c16="http://schemas.microsoft.com/office/drawing/2014/chart" uri="{C3380CC4-5D6E-409C-BE32-E72D297353CC}">
              <c16:uniqueId val="{00000002-2270-4897-8DE2-C6CC7DC42602}"/>
            </c:ext>
          </c:extLst>
        </c:ser>
        <c:ser>
          <c:idx val="3"/>
          <c:order val="3"/>
          <c:tx>
            <c:strRef>
              <c:f>Laporan_tbc_perkota!$E$3</c:f>
              <c:strCache>
                <c:ptCount val="1"/>
                <c:pt idx="0">
                  <c:v>Total Pengidap tbc</c:v>
                </c:pt>
              </c:strCache>
            </c:strRef>
          </c:tx>
          <c:spPr>
            <a:ln w="25400" cap="rnd">
              <a:solidFill>
                <a:schemeClr val="accent4"/>
              </a:solidFill>
              <a:round/>
              <a:tailEnd w="sm" len="sm"/>
            </a:ln>
            <a:effectLst/>
          </c:spPr>
          <c:marker>
            <c:symbol val="circle"/>
            <c:size val="5"/>
            <c:spPr>
              <a:solidFill>
                <a:schemeClr val="accent4"/>
              </a:solidFill>
              <a:ln w="317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Laporan_tbc_perkota!$A$4:$A$10</c:f>
              <c:strCache>
                <c:ptCount val="6"/>
                <c:pt idx="0">
                  <c:v>2019</c:v>
                </c:pt>
                <c:pt idx="1">
                  <c:v>2020</c:v>
                </c:pt>
                <c:pt idx="2">
                  <c:v>2021</c:v>
                </c:pt>
                <c:pt idx="3">
                  <c:v>2022</c:v>
                </c:pt>
                <c:pt idx="4">
                  <c:v>2023</c:v>
                </c:pt>
                <c:pt idx="5">
                  <c:v>2024</c:v>
                </c:pt>
              </c:strCache>
            </c:strRef>
          </c:cat>
          <c:val>
            <c:numRef>
              <c:f>Laporan_tbc_perkota!$E$4:$E$10</c:f>
              <c:numCache>
                <c:formatCode>General</c:formatCode>
                <c:ptCount val="6"/>
                <c:pt idx="0">
                  <c:v>4695</c:v>
                </c:pt>
                <c:pt idx="1">
                  <c:v>3311</c:v>
                </c:pt>
                <c:pt idx="2">
                  <c:v>4042</c:v>
                </c:pt>
                <c:pt idx="3">
                  <c:v>6549</c:v>
                </c:pt>
                <c:pt idx="4">
                  <c:v>7849</c:v>
                </c:pt>
                <c:pt idx="5">
                  <c:v>8422</c:v>
                </c:pt>
              </c:numCache>
            </c:numRef>
          </c:val>
          <c:smooth val="0"/>
          <c:extLst>
            <c:ext xmlns:c16="http://schemas.microsoft.com/office/drawing/2014/chart" uri="{C3380CC4-5D6E-409C-BE32-E72D297353CC}">
              <c16:uniqueId val="{00000003-2270-4897-8DE2-C6CC7DC42602}"/>
            </c:ext>
          </c:extLst>
        </c:ser>
        <c:dLbls>
          <c:showLegendKey val="0"/>
          <c:showVal val="0"/>
          <c:showCatName val="0"/>
          <c:showSerName val="0"/>
          <c:showPercent val="0"/>
          <c:showBubbleSize val="0"/>
        </c:dLbls>
        <c:marker val="1"/>
        <c:smooth val="0"/>
        <c:axId val="725416928"/>
        <c:axId val="725418368"/>
      </c:lineChart>
      <c:catAx>
        <c:axId val="72541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18368"/>
        <c:crosses val="autoZero"/>
        <c:auto val="1"/>
        <c:lblAlgn val="ctr"/>
        <c:lblOffset val="100"/>
        <c:noMultiLvlLbl val="0"/>
      </c:catAx>
      <c:valAx>
        <c:axId val="72541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16928"/>
        <c:crosses val="autoZero"/>
        <c:crossBetween val="between"/>
      </c:valAx>
      <c:spPr>
        <a:noFill/>
        <a:ln>
          <a:noFill/>
        </a:ln>
        <a:effectLst/>
      </c:spPr>
    </c:plotArea>
    <c:legend>
      <c:legendPos val="b"/>
      <c:layout>
        <c:manualLayout>
          <c:xMode val="edge"/>
          <c:yMode val="edge"/>
          <c:x val="9.2438434454351955E-3"/>
          <c:y val="0.86060446163427717"/>
          <c:w val="0.97721184558243557"/>
          <c:h val="0.13920528410313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[Kasus_tbc_jawa_barat.xlsx]tbc_anak_dewasa!PivotTable2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Perbandingan Kasus TBC pada</a:t>
            </a:r>
            <a:r>
              <a:rPr lang="en-ID" baseline="0"/>
              <a:t> Anak dan Dewasa </a:t>
            </a:r>
            <a:endParaRPr lang="en-ID"/>
          </a:p>
        </c:rich>
      </c:tx>
      <c:layout>
        <c:manualLayout>
          <c:xMode val="edge"/>
          <c:yMode val="edge"/>
          <c:x val="0.1851199487855533"/>
          <c:y val="3.1281536644789533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3670850252503"/>
          <c:y val="0.15566862429999168"/>
          <c:w val="0.79933409919437837"/>
          <c:h val="0.63081799433871011"/>
        </c:manualLayout>
      </c:layout>
      <c:barChart>
        <c:barDir val="col"/>
        <c:grouping val="clustered"/>
        <c:varyColors val="0"/>
        <c:ser>
          <c:idx val="0"/>
          <c:order val="0"/>
          <c:tx>
            <c:strRef>
              <c:f>tbc_anak_dewasa!$B$3</c:f>
              <c:strCache>
                <c:ptCount val="1"/>
                <c:pt idx="0">
                  <c:v>Sum of jumlah_dewasa</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tbc_anak_dewasa!$A$4:$A$10</c:f>
              <c:strCache>
                <c:ptCount val="6"/>
                <c:pt idx="0">
                  <c:v>2019</c:v>
                </c:pt>
                <c:pt idx="1">
                  <c:v>2020</c:v>
                </c:pt>
                <c:pt idx="2">
                  <c:v>2021</c:v>
                </c:pt>
                <c:pt idx="3">
                  <c:v>2022</c:v>
                </c:pt>
                <c:pt idx="4">
                  <c:v>2023</c:v>
                </c:pt>
                <c:pt idx="5">
                  <c:v>2024</c:v>
                </c:pt>
              </c:strCache>
            </c:strRef>
          </c:cat>
          <c:val>
            <c:numRef>
              <c:f>tbc_anak_dewasa!$B$4:$B$10</c:f>
              <c:numCache>
                <c:formatCode>General</c:formatCode>
                <c:ptCount val="6"/>
                <c:pt idx="0">
                  <c:v>4195</c:v>
                </c:pt>
                <c:pt idx="1">
                  <c:v>2944</c:v>
                </c:pt>
                <c:pt idx="2">
                  <c:v>3644</c:v>
                </c:pt>
                <c:pt idx="3">
                  <c:v>5047</c:v>
                </c:pt>
                <c:pt idx="4">
                  <c:v>6255</c:v>
                </c:pt>
                <c:pt idx="5">
                  <c:v>7040</c:v>
                </c:pt>
              </c:numCache>
            </c:numRef>
          </c:val>
          <c:extLst>
            <c:ext xmlns:c16="http://schemas.microsoft.com/office/drawing/2014/chart" uri="{C3380CC4-5D6E-409C-BE32-E72D297353CC}">
              <c16:uniqueId val="{00000000-6566-4C1C-A750-54B4A9309B5B}"/>
            </c:ext>
          </c:extLst>
        </c:ser>
        <c:ser>
          <c:idx val="1"/>
          <c:order val="1"/>
          <c:tx>
            <c:strRef>
              <c:f>tbc_anak_dewasa!$C$3</c:f>
              <c:strCache>
                <c:ptCount val="1"/>
                <c:pt idx="0">
                  <c:v>Sum of jumlah_anak</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tbc_anak_dewasa!$A$4:$A$10</c:f>
              <c:strCache>
                <c:ptCount val="6"/>
                <c:pt idx="0">
                  <c:v>2019</c:v>
                </c:pt>
                <c:pt idx="1">
                  <c:v>2020</c:v>
                </c:pt>
                <c:pt idx="2">
                  <c:v>2021</c:v>
                </c:pt>
                <c:pt idx="3">
                  <c:v>2022</c:v>
                </c:pt>
                <c:pt idx="4">
                  <c:v>2023</c:v>
                </c:pt>
                <c:pt idx="5">
                  <c:v>2024</c:v>
                </c:pt>
              </c:strCache>
            </c:strRef>
          </c:cat>
          <c:val>
            <c:numRef>
              <c:f>tbc_anak_dewasa!$C$4:$C$10</c:f>
              <c:numCache>
                <c:formatCode>General</c:formatCode>
                <c:ptCount val="6"/>
                <c:pt idx="0">
                  <c:v>500</c:v>
                </c:pt>
                <c:pt idx="1">
                  <c:v>367</c:v>
                </c:pt>
                <c:pt idx="2">
                  <c:v>398</c:v>
                </c:pt>
                <c:pt idx="3">
                  <c:v>1502</c:v>
                </c:pt>
                <c:pt idx="4">
                  <c:v>1594</c:v>
                </c:pt>
                <c:pt idx="5">
                  <c:v>1382</c:v>
                </c:pt>
              </c:numCache>
            </c:numRef>
          </c:val>
          <c:extLst>
            <c:ext xmlns:c16="http://schemas.microsoft.com/office/drawing/2014/chart" uri="{C3380CC4-5D6E-409C-BE32-E72D297353CC}">
              <c16:uniqueId val="{00000001-6566-4C1C-A750-54B4A9309B5B}"/>
            </c:ext>
          </c:extLst>
        </c:ser>
        <c:dLbls>
          <c:showLegendKey val="0"/>
          <c:showVal val="0"/>
          <c:showCatName val="0"/>
          <c:showSerName val="0"/>
          <c:showPercent val="0"/>
          <c:showBubbleSize val="0"/>
        </c:dLbls>
        <c:gapWidth val="150"/>
        <c:axId val="630519680"/>
        <c:axId val="630519200"/>
      </c:barChart>
      <c:catAx>
        <c:axId val="630519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19200"/>
        <c:crosses val="autoZero"/>
        <c:auto val="1"/>
        <c:lblAlgn val="ctr"/>
        <c:lblOffset val="100"/>
        <c:noMultiLvlLbl val="0"/>
      </c:catAx>
      <c:valAx>
        <c:axId val="63051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19680"/>
        <c:crosses val="autoZero"/>
        <c:crossBetween val="between"/>
      </c:valAx>
      <c:spPr>
        <a:noFill/>
        <a:ln>
          <a:noFill/>
        </a:ln>
        <a:effectLst/>
      </c:spPr>
    </c:plotArea>
    <c:legend>
      <c:legendPos val="r"/>
      <c:layout>
        <c:manualLayout>
          <c:xMode val="edge"/>
          <c:yMode val="edge"/>
          <c:x val="0.17072263811178917"/>
          <c:y val="0.88531221515146286"/>
          <c:w val="0.72537147055802353"/>
          <c:h val="9.50880053993659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31" fmlaLink="Dataset!$L$1" max="12" page="10" val="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310744</xdr:colOff>
      <xdr:row>3</xdr:row>
      <xdr:rowOff>175638</xdr:rowOff>
    </xdr:from>
    <xdr:to>
      <xdr:col>20</xdr:col>
      <xdr:colOff>450645</xdr:colOff>
      <xdr:row>42</xdr:row>
      <xdr:rowOff>94574</xdr:rowOff>
    </xdr:to>
    <xdr:sp macro="" textlink="">
      <xdr:nvSpPr>
        <xdr:cNvPr id="25" name="Rectangle: Rounded Corners 5">
          <a:extLst>
            <a:ext uri="{FF2B5EF4-FFF2-40B4-BE49-F238E27FC236}">
              <a16:creationId xmlns:a16="http://schemas.microsoft.com/office/drawing/2014/main" id="{07DC1E46-C97F-4876-AB2A-43313F0B7CF2}"/>
            </a:ext>
          </a:extLst>
        </xdr:cNvPr>
        <xdr:cNvSpPr>
          <a:spLocks/>
        </xdr:cNvSpPr>
      </xdr:nvSpPr>
      <xdr:spPr>
        <a:xfrm>
          <a:off x="2732815" y="1699638"/>
          <a:ext cx="18146687" cy="6840436"/>
        </a:xfrm>
        <a:prstGeom prst="roundRect">
          <a:avLst>
            <a:gd name="adj" fmla="val 5103"/>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5</xdr:col>
      <xdr:colOff>151621</xdr:colOff>
      <xdr:row>3</xdr:row>
      <xdr:rowOff>379704</xdr:rowOff>
    </xdr:from>
    <xdr:to>
      <xdr:col>20</xdr:col>
      <xdr:colOff>307258</xdr:colOff>
      <xdr:row>41</xdr:row>
      <xdr:rowOff>108085</xdr:rowOff>
    </xdr:to>
    <xdr:sp macro="" textlink="">
      <xdr:nvSpPr>
        <xdr:cNvPr id="17" name="Rectangle: Rounded Corners 16">
          <a:extLst>
            <a:ext uri="{FF2B5EF4-FFF2-40B4-BE49-F238E27FC236}">
              <a16:creationId xmlns:a16="http://schemas.microsoft.com/office/drawing/2014/main" id="{A4F63194-50D7-D112-9BA3-DB4B5739FE31}"/>
            </a:ext>
            <a:ext uri="{147F2762-F138-4A5C-976F-8EAC2B608ADB}">
              <a16:predDERef xmlns:a16="http://schemas.microsoft.com/office/drawing/2014/main" pred="{07DC1E46-C97F-4876-AB2A-43313F0B7CF2}"/>
            </a:ext>
          </a:extLst>
        </xdr:cNvPr>
        <xdr:cNvSpPr/>
      </xdr:nvSpPr>
      <xdr:spPr>
        <a:xfrm>
          <a:off x="9041621" y="1915994"/>
          <a:ext cx="9373379" cy="6508543"/>
        </a:xfrm>
        <a:prstGeom prst="roundRect">
          <a:avLst>
            <a:gd name="adj" fmla="val 1818"/>
          </a:avLst>
        </a:prstGeom>
        <a:solidFill>
          <a:schemeClr val="accent2"/>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900" b="1">
            <a:solidFill>
              <a:schemeClr val="lt1"/>
            </a:solidFill>
            <a:latin typeface="+mn-lt"/>
            <a:ea typeface="+mn-lt"/>
            <a:cs typeface="+mn-lt"/>
          </a:endParaRPr>
        </a:p>
        <a:p>
          <a:pPr marL="0" indent="0" algn="l"/>
          <a:r>
            <a:rPr lang="en-US" sz="2900" b="1">
              <a:solidFill>
                <a:schemeClr val="lt1"/>
              </a:solidFill>
              <a:latin typeface="+mn-lt"/>
              <a:ea typeface="+mn-lt"/>
              <a:cs typeface="+mn-lt"/>
            </a:rPr>
            <a:t>Data TBC Per </a:t>
          </a:r>
        </a:p>
        <a:p>
          <a:pPr marL="0" indent="0" algn="l"/>
          <a:r>
            <a:rPr lang="en-US" sz="2900" b="1">
              <a:solidFill>
                <a:schemeClr val="lt1"/>
              </a:solidFill>
              <a:latin typeface="+mn-lt"/>
              <a:ea typeface="+mn-lt"/>
              <a:cs typeface="+mn-lt"/>
            </a:rPr>
            <a:t>Kabupaten/Kota</a:t>
          </a:r>
        </a:p>
      </xdr:txBody>
    </xdr:sp>
    <xdr:clientData/>
  </xdr:twoCellAnchor>
  <mc:AlternateContent xmlns:mc="http://schemas.openxmlformats.org/markup-compatibility/2006">
    <mc:Choice xmlns:a14="http://schemas.microsoft.com/office/drawing/2010/main" Requires="a14">
      <xdr:twoCellAnchor editAs="oneCell">
        <xdr:from>
          <xdr:col>4</xdr:col>
          <xdr:colOff>12700</xdr:colOff>
          <xdr:row>4</xdr:row>
          <xdr:rowOff>0</xdr:rowOff>
        </xdr:from>
        <xdr:to>
          <xdr:col>4</xdr:col>
          <xdr:colOff>146050</xdr:colOff>
          <xdr:row>15</xdr:row>
          <xdr:rowOff>25400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xdr:col>
      <xdr:colOff>12959</xdr:colOff>
      <xdr:row>16</xdr:row>
      <xdr:rowOff>79821</xdr:rowOff>
    </xdr:from>
    <xdr:to>
      <xdr:col>4</xdr:col>
      <xdr:colOff>142551</xdr:colOff>
      <xdr:row>41</xdr:row>
      <xdr:rowOff>14431</xdr:rowOff>
    </xdr:to>
    <xdr:graphicFrame macro="">
      <xdr:nvGraphicFramePr>
        <xdr:cNvPr id="5" name="Chart 4">
          <a:extLst>
            <a:ext uri="{FF2B5EF4-FFF2-40B4-BE49-F238E27FC236}">
              <a16:creationId xmlns:a16="http://schemas.microsoft.com/office/drawing/2014/main" id="{9CE82459-4801-D48C-C70E-D800BA4C8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507998</xdr:colOff>
      <xdr:row>4</xdr:row>
      <xdr:rowOff>129351</xdr:rowOff>
    </xdr:from>
    <xdr:to>
      <xdr:col>20</xdr:col>
      <xdr:colOff>126999</xdr:colOff>
      <xdr:row>24</xdr:row>
      <xdr:rowOff>162127</xdr:rowOff>
    </xdr:to>
    <xdr:sp macro="" textlink="">
      <xdr:nvSpPr>
        <xdr:cNvPr id="15" name="Rectangle: Rounded Corners 5">
          <a:extLst>
            <a:ext uri="{FF2B5EF4-FFF2-40B4-BE49-F238E27FC236}">
              <a16:creationId xmlns:a16="http://schemas.microsoft.com/office/drawing/2014/main" id="{9DCAA0E4-E82C-3FB0-3BCE-E506B7407944}"/>
            </a:ext>
          </a:extLst>
        </xdr:cNvPr>
        <xdr:cNvSpPr>
          <a:spLocks/>
        </xdr:cNvSpPr>
      </xdr:nvSpPr>
      <xdr:spPr>
        <a:xfrm>
          <a:off x="15620998" y="2147240"/>
          <a:ext cx="6293557" cy="3207776"/>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427403</xdr:colOff>
      <xdr:row>16</xdr:row>
      <xdr:rowOff>96631</xdr:rowOff>
    </xdr:from>
    <xdr:to>
      <xdr:col>1</xdr:col>
      <xdr:colOff>2756170</xdr:colOff>
      <xdr:row>26</xdr:row>
      <xdr:rowOff>27609</xdr:rowOff>
    </xdr:to>
    <xdr:sp macro="" textlink="">
      <xdr:nvSpPr>
        <xdr:cNvPr id="23" name="Rectangle: Rounded Corners 5">
          <a:extLst>
            <a:ext uri="{FF2B5EF4-FFF2-40B4-BE49-F238E27FC236}">
              <a16:creationId xmlns:a16="http://schemas.microsoft.com/office/drawing/2014/main" id="{AA8305D8-1827-4898-86AC-155DF4D61FF3}"/>
            </a:ext>
          </a:extLst>
        </xdr:cNvPr>
        <xdr:cNvSpPr>
          <a:spLocks/>
        </xdr:cNvSpPr>
      </xdr:nvSpPr>
      <xdr:spPr>
        <a:xfrm>
          <a:off x="2843164" y="3796196"/>
          <a:ext cx="2328767" cy="1725543"/>
        </a:xfrm>
        <a:prstGeom prst="roundRect">
          <a:avLst>
            <a:gd name="adj" fmla="val 20255"/>
          </a:avLst>
        </a:prstGeom>
        <a:solidFill>
          <a:schemeClr val="accent2">
            <a:lumMod val="75000"/>
          </a:schemeClr>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D" sz="1400" b="1">
              <a:solidFill>
                <a:schemeClr val="bg1"/>
              </a:solidFill>
            </a:rPr>
            <a:t>Total Kematian akibat</a:t>
          </a:r>
          <a:r>
            <a:rPr lang="en-ID" sz="1400" b="1" baseline="0">
              <a:solidFill>
                <a:schemeClr val="bg1"/>
              </a:solidFill>
            </a:rPr>
            <a:t> TBC untuk seluruh Kota/Kabupaten di Jabar</a:t>
          </a:r>
        </a:p>
        <a:p>
          <a:pPr algn="ctr"/>
          <a:r>
            <a:rPr lang="en-ID" sz="1100" b="0">
              <a:solidFill>
                <a:schemeClr val="bg1"/>
              </a:solidFill>
            </a:rPr>
            <a:t>(2019</a:t>
          </a:r>
          <a:r>
            <a:rPr lang="en-ID" sz="1100" b="0" baseline="0">
              <a:solidFill>
                <a:schemeClr val="bg1"/>
              </a:solidFill>
            </a:rPr>
            <a:t> - 2024)</a:t>
          </a:r>
        </a:p>
        <a:p>
          <a:pPr algn="ctr"/>
          <a:r>
            <a:rPr lang="en-ID" sz="3200" b="1" baseline="0">
              <a:solidFill>
                <a:schemeClr val="bg1"/>
              </a:solidFill>
            </a:rPr>
            <a:t>16.642</a:t>
          </a:r>
        </a:p>
        <a:p>
          <a:pPr algn="ctr"/>
          <a:endParaRPr lang="en-ID" sz="1100" b="0">
            <a:solidFill>
              <a:schemeClr val="bg1"/>
            </a:solidFill>
          </a:endParaRPr>
        </a:p>
      </xdr:txBody>
    </xdr:sp>
    <xdr:clientData/>
  </xdr:twoCellAnchor>
  <xdr:twoCellAnchor>
    <xdr:from>
      <xdr:col>1</xdr:col>
      <xdr:colOff>503678</xdr:colOff>
      <xdr:row>26</xdr:row>
      <xdr:rowOff>165653</xdr:rowOff>
    </xdr:from>
    <xdr:to>
      <xdr:col>1</xdr:col>
      <xdr:colOff>2746442</xdr:colOff>
      <xdr:row>40</xdr:row>
      <xdr:rowOff>179455</xdr:rowOff>
    </xdr:to>
    <xdr:sp macro="" textlink="">
      <xdr:nvSpPr>
        <xdr:cNvPr id="24" name="Rectangle: Rounded Corners 5">
          <a:extLst>
            <a:ext uri="{FF2B5EF4-FFF2-40B4-BE49-F238E27FC236}">
              <a16:creationId xmlns:a16="http://schemas.microsoft.com/office/drawing/2014/main" id="{02E873E0-C8F7-403A-9139-5D950A161BA3}"/>
            </a:ext>
          </a:extLst>
        </xdr:cNvPr>
        <xdr:cNvSpPr>
          <a:spLocks/>
        </xdr:cNvSpPr>
      </xdr:nvSpPr>
      <xdr:spPr>
        <a:xfrm>
          <a:off x="2925749" y="5708296"/>
          <a:ext cx="2242764" cy="2553802"/>
        </a:xfrm>
        <a:prstGeom prst="roundRect">
          <a:avLst>
            <a:gd name="adj" fmla="val 12424"/>
          </a:avLst>
        </a:prstGeom>
        <a:solidFill>
          <a:sysClr val="window" lastClr="FFFFFF"/>
        </a:solidFill>
        <a:ln w="3175">
          <a:solidFill>
            <a:schemeClr val="accent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337767</xdr:colOff>
      <xdr:row>0</xdr:row>
      <xdr:rowOff>439614</xdr:rowOff>
    </xdr:from>
    <xdr:to>
      <xdr:col>20</xdr:col>
      <xdr:colOff>450645</xdr:colOff>
      <xdr:row>3</xdr:row>
      <xdr:rowOff>108083</xdr:rowOff>
    </xdr:to>
    <xdr:sp macro="" textlink="">
      <xdr:nvSpPr>
        <xdr:cNvPr id="26" name="Rectangle: Rounded Corners 5">
          <a:extLst>
            <a:ext uri="{FF2B5EF4-FFF2-40B4-BE49-F238E27FC236}">
              <a16:creationId xmlns:a16="http://schemas.microsoft.com/office/drawing/2014/main" id="{7A1A5222-4E59-437F-83C6-414D3908450A}"/>
            </a:ext>
          </a:extLst>
        </xdr:cNvPr>
        <xdr:cNvSpPr>
          <a:spLocks/>
        </xdr:cNvSpPr>
      </xdr:nvSpPr>
      <xdr:spPr>
        <a:xfrm>
          <a:off x="337767" y="439614"/>
          <a:ext cx="18161532" cy="1207123"/>
        </a:xfrm>
        <a:prstGeom prst="roundRect">
          <a:avLst>
            <a:gd name="adj" fmla="val 20255"/>
          </a:avLst>
        </a:prstGeom>
        <a:solidFill>
          <a:schemeClr val="accent2">
            <a:lumMod val="75000"/>
          </a:schemeClr>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D" sz="3200" b="1">
              <a:solidFill>
                <a:schemeClr val="bg1"/>
              </a:solidFill>
            </a:rPr>
            <a:t>Analisis Komprehensif Kasus TBC dan Penanganannya di Kota/Kabupaten Jawa Barat (2019–2024)</a:t>
          </a:r>
        </a:p>
      </xdr:txBody>
    </xdr:sp>
    <xdr:clientData/>
  </xdr:twoCellAnchor>
  <xdr:twoCellAnchor>
    <xdr:from>
      <xdr:col>9</xdr:col>
      <xdr:colOff>580571</xdr:colOff>
      <xdr:row>4</xdr:row>
      <xdr:rowOff>232020</xdr:rowOff>
    </xdr:from>
    <xdr:to>
      <xdr:col>19</xdr:col>
      <xdr:colOff>539125</xdr:colOff>
      <xdr:row>25</xdr:row>
      <xdr:rowOff>27021</xdr:rowOff>
    </xdr:to>
    <xdr:graphicFrame macro="">
      <xdr:nvGraphicFramePr>
        <xdr:cNvPr id="2" name="Chart 1">
          <a:extLst>
            <a:ext uri="{FF2B5EF4-FFF2-40B4-BE49-F238E27FC236}">
              <a16:creationId xmlns:a16="http://schemas.microsoft.com/office/drawing/2014/main" id="{B249541F-D4E6-4530-8D14-B68D5756F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408325</xdr:colOff>
      <xdr:row>12</xdr:row>
      <xdr:rowOff>72572</xdr:rowOff>
    </xdr:from>
    <xdr:to>
      <xdr:col>9</xdr:col>
      <xdr:colOff>437932</xdr:colOff>
      <xdr:row>24</xdr:row>
      <xdr:rowOff>165653</xdr:rowOff>
    </xdr:to>
    <mc:AlternateContent xmlns:mc="http://schemas.openxmlformats.org/markup-compatibility/2006" xmlns:a14="http://schemas.microsoft.com/office/drawing/2010/main">
      <mc:Choice Requires="a14">
        <xdr:graphicFrame macro="">
          <xdr:nvGraphicFramePr>
            <xdr:cNvPr id="4" name="Kabupaten/kota">
              <a:extLst>
                <a:ext uri="{FF2B5EF4-FFF2-40B4-BE49-F238E27FC236}">
                  <a16:creationId xmlns:a16="http://schemas.microsoft.com/office/drawing/2014/main" id="{6223376C-D426-4FB2-A012-E37BF2C9B89A}"/>
                </a:ext>
              </a:extLst>
            </xdr:cNvPr>
            <xdr:cNvGraphicFramePr/>
          </xdr:nvGraphicFramePr>
          <xdr:xfrm>
            <a:off x="0" y="0"/>
            <a:ext cx="0" cy="0"/>
          </xdr:xfrm>
          <a:graphic>
            <a:graphicData uri="http://schemas.microsoft.com/office/drawing/2010/slicer">
              <sle:slicer xmlns:sle="http://schemas.microsoft.com/office/drawing/2010/slicer" name="Kabupaten/kota"/>
            </a:graphicData>
          </a:graphic>
        </xdr:graphicFrame>
      </mc:Choice>
      <mc:Fallback xmlns="">
        <xdr:sp macro="" textlink="">
          <xdr:nvSpPr>
            <xdr:cNvPr id="0" name=""/>
            <xdr:cNvSpPr>
              <a:spLocks noTextEdit="1"/>
            </xdr:cNvSpPr>
          </xdr:nvSpPr>
          <xdr:spPr>
            <a:xfrm>
              <a:off x="11711325" y="3233461"/>
              <a:ext cx="2456718" cy="21250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405320</xdr:colOff>
      <xdr:row>25</xdr:row>
      <xdr:rowOff>112888</xdr:rowOff>
    </xdr:from>
    <xdr:to>
      <xdr:col>14</xdr:col>
      <xdr:colOff>580956</xdr:colOff>
      <xdr:row>40</xdr:row>
      <xdr:rowOff>121594</xdr:rowOff>
    </xdr:to>
    <xdr:graphicFrame macro="">
      <xdr:nvGraphicFramePr>
        <xdr:cNvPr id="7" name="Chart 6">
          <a:extLst>
            <a:ext uri="{FF2B5EF4-FFF2-40B4-BE49-F238E27FC236}">
              <a16:creationId xmlns:a16="http://schemas.microsoft.com/office/drawing/2014/main" id="{26A627E8-6E95-4EA3-BBA2-570825464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112340</xdr:colOff>
      <xdr:row>33</xdr:row>
      <xdr:rowOff>152447</xdr:rowOff>
    </xdr:from>
    <xdr:to>
      <xdr:col>20</xdr:col>
      <xdr:colOff>134235</xdr:colOff>
      <xdr:row>40</xdr:row>
      <xdr:rowOff>168941</xdr:rowOff>
    </xdr:to>
    <xdr:sp macro="" textlink="Laporan_tbc_perkota!D12">
      <xdr:nvSpPr>
        <xdr:cNvPr id="8" name="Rectangle: Rounded Corners 5">
          <a:extLst>
            <a:ext uri="{FF2B5EF4-FFF2-40B4-BE49-F238E27FC236}">
              <a16:creationId xmlns:a16="http://schemas.microsoft.com/office/drawing/2014/main" id="{71FA0340-603A-46CA-8274-D3964F8E8E20}"/>
            </a:ext>
          </a:extLst>
        </xdr:cNvPr>
        <xdr:cNvSpPr>
          <a:spLocks/>
        </xdr:cNvSpPr>
      </xdr:nvSpPr>
      <xdr:spPr>
        <a:xfrm>
          <a:off x="18872449" y="7033914"/>
          <a:ext cx="3058851" cy="1321005"/>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i="0" u="none" strike="noStrike">
              <a:solidFill>
                <a:sysClr val="windowText" lastClr="000000"/>
              </a:solidFill>
              <a:latin typeface="Calibri"/>
              <a:ea typeface="Calibri"/>
              <a:cs typeface="Calibri"/>
            </a:rPr>
            <a:t>Total Angka</a:t>
          </a:r>
          <a:r>
            <a:rPr lang="en-US" sz="1600" b="1" i="0" u="none" strike="noStrike" baseline="0">
              <a:solidFill>
                <a:sysClr val="windowText" lastClr="000000"/>
              </a:solidFill>
              <a:latin typeface="Calibri"/>
              <a:ea typeface="Calibri"/>
              <a:cs typeface="Calibri"/>
            </a:rPr>
            <a:t> Kematian </a:t>
          </a:r>
        </a:p>
        <a:p>
          <a:pPr algn="ctr"/>
          <a:r>
            <a:rPr lang="en-US" sz="1600" b="1" i="0" u="none" strike="noStrike" baseline="0">
              <a:solidFill>
                <a:sysClr val="windowText" lastClr="000000"/>
              </a:solidFill>
              <a:latin typeface="Calibri"/>
              <a:ea typeface="Calibri"/>
              <a:cs typeface="Calibri"/>
            </a:rPr>
            <a:t>Akibat TBC </a:t>
          </a:r>
          <a:r>
            <a:rPr lang="en-US" sz="1400" b="0" i="0" u="none" strike="noStrike">
              <a:solidFill>
                <a:sysClr val="windowText" lastClr="000000"/>
              </a:solidFill>
              <a:latin typeface="Calibri"/>
              <a:ea typeface="Calibri"/>
              <a:cs typeface="Calibri"/>
            </a:rPr>
            <a:t>(2019</a:t>
          </a:r>
          <a:r>
            <a:rPr lang="en-US" sz="1400" b="0" i="0" u="none" strike="noStrike" baseline="0">
              <a:solidFill>
                <a:sysClr val="windowText" lastClr="000000"/>
              </a:solidFill>
              <a:latin typeface="Calibri"/>
              <a:ea typeface="Calibri"/>
              <a:cs typeface="Calibri"/>
            </a:rPr>
            <a:t> - 2024)</a:t>
          </a:r>
          <a:endParaRPr lang="en-US" sz="1400" b="0" i="0" u="none" strike="noStrike">
            <a:solidFill>
              <a:sysClr val="windowText" lastClr="000000"/>
            </a:solidFill>
            <a:latin typeface="Calibri"/>
            <a:ea typeface="Calibri"/>
            <a:cs typeface="Calibri"/>
          </a:endParaRPr>
        </a:p>
        <a:p>
          <a:pPr algn="ctr"/>
          <a:endParaRPr lang="en-ID" sz="4000" b="1">
            <a:solidFill>
              <a:srgbClr val="FF0000"/>
            </a:solidFill>
          </a:endParaRPr>
        </a:p>
      </xdr:txBody>
    </xdr:sp>
    <xdr:clientData/>
  </xdr:twoCellAnchor>
  <xdr:twoCellAnchor>
    <xdr:from>
      <xdr:col>15</xdr:col>
      <xdr:colOff>109483</xdr:colOff>
      <xdr:row>25</xdr:row>
      <xdr:rowOff>131784</xdr:rowOff>
    </xdr:from>
    <xdr:to>
      <xdr:col>20</xdr:col>
      <xdr:colOff>109483</xdr:colOff>
      <xdr:row>33</xdr:row>
      <xdr:rowOff>69022</xdr:rowOff>
    </xdr:to>
    <xdr:sp macro="" textlink="Laporan_tbc_perkota!E11">
      <xdr:nvSpPr>
        <xdr:cNvPr id="11" name="Rectangle: Rounded Corners 5">
          <a:extLst>
            <a:ext uri="{FF2B5EF4-FFF2-40B4-BE49-F238E27FC236}">
              <a16:creationId xmlns:a16="http://schemas.microsoft.com/office/drawing/2014/main" id="{CF37B584-02A5-4EAD-9327-EAE938842584}"/>
            </a:ext>
          </a:extLst>
        </xdr:cNvPr>
        <xdr:cNvSpPr>
          <a:spLocks/>
        </xdr:cNvSpPr>
      </xdr:nvSpPr>
      <xdr:spPr>
        <a:xfrm>
          <a:off x="17487939" y="5566637"/>
          <a:ext cx="3034926" cy="1431356"/>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E557DFB3-630C-4E50-938D-46308533E4B6}" type="TxLink">
            <a:rPr lang="en-US" sz="4400" b="1" i="0" u="none" strike="noStrike">
              <a:solidFill>
                <a:srgbClr val="FF0000"/>
              </a:solidFill>
              <a:latin typeface="Calibri"/>
              <a:ea typeface="Calibri"/>
              <a:cs typeface="Calibri"/>
            </a:rPr>
            <a:pPr algn="ctr"/>
            <a:t>34868</a:t>
          </a:fld>
          <a:endParaRPr lang="en-ID" sz="4400" b="1">
            <a:solidFill>
              <a:schemeClr val="tx2">
                <a:lumMod val="60000"/>
                <a:lumOff val="40000"/>
              </a:schemeClr>
            </a:solidFill>
          </a:endParaRPr>
        </a:p>
      </xdr:txBody>
    </xdr:sp>
    <xdr:clientData/>
  </xdr:twoCellAnchor>
  <xdr:twoCellAnchor>
    <xdr:from>
      <xdr:col>18</xdr:col>
      <xdr:colOff>289729</xdr:colOff>
      <xdr:row>37</xdr:row>
      <xdr:rowOff>137517</xdr:rowOff>
    </xdr:from>
    <xdr:to>
      <xdr:col>19</xdr:col>
      <xdr:colOff>405184</xdr:colOff>
      <xdr:row>39</xdr:row>
      <xdr:rowOff>60918</xdr:rowOff>
    </xdr:to>
    <xdr:sp macro="" textlink="Laporan_tbc_perkota!E12">
      <xdr:nvSpPr>
        <xdr:cNvPr id="12" name="Rectangle 11">
          <a:extLst>
            <a:ext uri="{FF2B5EF4-FFF2-40B4-BE49-F238E27FC236}">
              <a16:creationId xmlns:a16="http://schemas.microsoft.com/office/drawing/2014/main" id="{FEE27394-EEBE-0DD7-A1EF-460AA20EC458}"/>
            </a:ext>
          </a:extLst>
        </xdr:cNvPr>
        <xdr:cNvSpPr/>
      </xdr:nvSpPr>
      <xdr:spPr>
        <a:xfrm>
          <a:off x="19498479" y="7829676"/>
          <a:ext cx="721591" cy="298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8C16CF-A1E0-4A93-8468-52CB19710C8E}" type="TxLink">
            <a:rPr lang="en-US" sz="1100" b="0" i="0" u="none" strike="noStrike">
              <a:solidFill>
                <a:srgbClr val="FFFFFF"/>
              </a:solidFill>
              <a:latin typeface="Calibri"/>
              <a:ea typeface="Calibri"/>
              <a:cs typeface="Calibri"/>
            </a:rPr>
            <a:pPr algn="l"/>
            <a:t>02%</a:t>
          </a:fld>
          <a:endParaRPr lang="en-ID" sz="1600" b="1"/>
        </a:p>
      </xdr:txBody>
    </xdr:sp>
    <xdr:clientData/>
  </xdr:twoCellAnchor>
  <xdr:twoCellAnchor>
    <xdr:from>
      <xdr:col>1</xdr:col>
      <xdr:colOff>464560</xdr:colOff>
      <xdr:row>3</xdr:row>
      <xdr:rowOff>482630</xdr:rowOff>
    </xdr:from>
    <xdr:to>
      <xdr:col>1</xdr:col>
      <xdr:colOff>2707324</xdr:colOff>
      <xdr:row>15</xdr:row>
      <xdr:rowOff>179455</xdr:rowOff>
    </xdr:to>
    <xdr:sp macro="" textlink="">
      <xdr:nvSpPr>
        <xdr:cNvPr id="13" name="Rectangle: Rounded Corners 5">
          <a:extLst>
            <a:ext uri="{FF2B5EF4-FFF2-40B4-BE49-F238E27FC236}">
              <a16:creationId xmlns:a16="http://schemas.microsoft.com/office/drawing/2014/main" id="{32F70C6E-8922-4DBF-AE7B-035A6BF78B48}"/>
            </a:ext>
          </a:extLst>
        </xdr:cNvPr>
        <xdr:cNvSpPr>
          <a:spLocks/>
        </xdr:cNvSpPr>
      </xdr:nvSpPr>
      <xdr:spPr>
        <a:xfrm>
          <a:off x="2880321" y="2014913"/>
          <a:ext cx="2242764" cy="1684651"/>
        </a:xfrm>
        <a:prstGeom prst="roundRect">
          <a:avLst>
            <a:gd name="adj" fmla="val 20255"/>
          </a:avLst>
        </a:prstGeom>
        <a:solidFill>
          <a:schemeClr val="tx2"/>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D" sz="1400" b="1">
              <a:solidFill>
                <a:schemeClr val="bg1"/>
              </a:solidFill>
            </a:rPr>
            <a:t>Total</a:t>
          </a:r>
          <a:r>
            <a:rPr lang="en-ID" sz="1400" b="1" baseline="0">
              <a:solidFill>
                <a:schemeClr val="bg1"/>
              </a:solidFill>
            </a:rPr>
            <a:t> Laporan Kasus TBC seluruh Kabupaten/Kota di Jawa Barat </a:t>
          </a:r>
        </a:p>
        <a:p>
          <a:pPr algn="ctr"/>
          <a:r>
            <a:rPr lang="en-ID" sz="1100" b="0" baseline="0">
              <a:solidFill>
                <a:schemeClr val="bg1"/>
              </a:solidFill>
            </a:rPr>
            <a:t>(2019 - 2024)</a:t>
          </a:r>
        </a:p>
        <a:p>
          <a:pPr algn="ctr"/>
          <a:r>
            <a:rPr lang="en-ID" sz="3200" b="1">
              <a:solidFill>
                <a:schemeClr val="bg1"/>
              </a:solidFill>
            </a:rPr>
            <a:t>880.861</a:t>
          </a:r>
        </a:p>
      </xdr:txBody>
    </xdr:sp>
    <xdr:clientData/>
  </xdr:twoCellAnchor>
  <xdr:twoCellAnchor editAs="oneCell">
    <xdr:from>
      <xdr:col>1</xdr:col>
      <xdr:colOff>1230917</xdr:colOff>
      <xdr:row>35</xdr:row>
      <xdr:rowOff>86591</xdr:rowOff>
    </xdr:from>
    <xdr:to>
      <xdr:col>1</xdr:col>
      <xdr:colOff>2525569</xdr:colOff>
      <xdr:row>41</xdr:row>
      <xdr:rowOff>7785</xdr:rowOff>
    </xdr:to>
    <xdr:pic>
      <xdr:nvPicPr>
        <xdr:cNvPr id="19" name="Picture 18">
          <a:extLst>
            <a:ext uri="{FF2B5EF4-FFF2-40B4-BE49-F238E27FC236}">
              <a16:creationId xmlns:a16="http://schemas.microsoft.com/office/drawing/2014/main" id="{EB117394-CF7E-8FDE-C549-29A8FF7324FD}"/>
            </a:ext>
          </a:extLst>
        </xdr:cNvPr>
        <xdr:cNvPicPr>
          <a:picLocks noChangeAspect="1"/>
        </xdr:cNvPicPr>
      </xdr:nvPicPr>
      <xdr:blipFill>
        <a:blip xmlns:r="http://schemas.openxmlformats.org/officeDocument/2006/relationships" r:embed="rId4">
          <a:alphaModFix/>
          <a:extLst>
            <a:ext uri="{BEBA8EAE-BF5A-486C-A8C5-ECC9F3942E4B}">
              <a14:imgProps xmlns:a14="http://schemas.microsoft.com/office/drawing/2010/main">
                <a14:imgLayer r:embed="rId5">
                  <a14:imgEffect>
                    <a14:colorTemperature colorTemp="6000"/>
                  </a14:imgEffect>
                  <a14:imgEffect>
                    <a14:saturation sat="75000"/>
                  </a14:imgEffect>
                </a14:imgLayer>
              </a14:imgProps>
            </a:ext>
          </a:extLst>
        </a:blip>
        <a:stretch>
          <a:fillRect/>
        </a:stretch>
      </xdr:blipFill>
      <xdr:spPr>
        <a:xfrm>
          <a:off x="3655462" y="7403523"/>
          <a:ext cx="1294652" cy="1046876"/>
        </a:xfrm>
        <a:prstGeom prst="rect">
          <a:avLst/>
        </a:prstGeom>
      </xdr:spPr>
    </xdr:pic>
    <xdr:clientData/>
  </xdr:twoCellAnchor>
  <xdr:twoCellAnchor>
    <xdr:from>
      <xdr:col>1</xdr:col>
      <xdr:colOff>733768</xdr:colOff>
      <xdr:row>30</xdr:row>
      <xdr:rowOff>123288</xdr:rowOff>
    </xdr:from>
    <xdr:to>
      <xdr:col>1</xdr:col>
      <xdr:colOff>2566609</xdr:colOff>
      <xdr:row>31</xdr:row>
      <xdr:rowOff>181015</xdr:rowOff>
    </xdr:to>
    <xdr:sp macro="" textlink="">
      <xdr:nvSpPr>
        <xdr:cNvPr id="27" name="Rectangle 26">
          <a:extLst>
            <a:ext uri="{FF2B5EF4-FFF2-40B4-BE49-F238E27FC236}">
              <a16:creationId xmlns:a16="http://schemas.microsoft.com/office/drawing/2014/main" id="{3413F625-F195-F4F7-D68E-04532818BC19}"/>
            </a:ext>
          </a:extLst>
        </xdr:cNvPr>
        <xdr:cNvSpPr/>
      </xdr:nvSpPr>
      <xdr:spPr>
        <a:xfrm>
          <a:off x="3155839" y="6391645"/>
          <a:ext cx="1832841" cy="239156"/>
        </a:xfrm>
        <a:prstGeom prst="rect">
          <a:avLst/>
        </a:prstGeom>
        <a:solidFill>
          <a:schemeClr val="accent1">
            <a:lumMod val="20000"/>
            <a:lumOff val="80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1155630</xdr:colOff>
      <xdr:row>30</xdr:row>
      <xdr:rowOff>135038</xdr:rowOff>
    </xdr:from>
    <xdr:to>
      <xdr:col>1</xdr:col>
      <xdr:colOff>2618541</xdr:colOff>
      <xdr:row>32</xdr:row>
      <xdr:rowOff>9877</xdr:rowOff>
    </xdr:to>
    <xdr:sp macro="" textlink="">
      <xdr:nvSpPr>
        <xdr:cNvPr id="28" name="Rectangle 27">
          <a:extLst>
            <a:ext uri="{FF2B5EF4-FFF2-40B4-BE49-F238E27FC236}">
              <a16:creationId xmlns:a16="http://schemas.microsoft.com/office/drawing/2014/main" id="{C8EE06DE-7E97-476E-9E25-F9606111806E}"/>
            </a:ext>
          </a:extLst>
        </xdr:cNvPr>
        <xdr:cNvSpPr/>
      </xdr:nvSpPr>
      <xdr:spPr>
        <a:xfrm>
          <a:off x="3577701" y="6403395"/>
          <a:ext cx="1462911" cy="237696"/>
        </a:xfrm>
        <a:prstGeom prst="rect">
          <a:avLst/>
        </a:prstGeom>
        <a:solidFill>
          <a:schemeClr val="accent2">
            <a:lumMod val="20000"/>
            <a:lumOff val="80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686825</xdr:colOff>
      <xdr:row>27</xdr:row>
      <xdr:rowOff>106608</xdr:rowOff>
    </xdr:from>
    <xdr:to>
      <xdr:col>2</xdr:col>
      <xdr:colOff>34868</xdr:colOff>
      <xdr:row>30</xdr:row>
      <xdr:rowOff>21636</xdr:rowOff>
    </xdr:to>
    <xdr:sp macro="" textlink="">
      <xdr:nvSpPr>
        <xdr:cNvPr id="29" name="Rectangle 28">
          <a:extLst>
            <a:ext uri="{FF2B5EF4-FFF2-40B4-BE49-F238E27FC236}">
              <a16:creationId xmlns:a16="http://schemas.microsoft.com/office/drawing/2014/main" id="{F5E63DF9-8A40-9808-0C9A-1632C9EEDF95}"/>
            </a:ext>
          </a:extLst>
        </xdr:cNvPr>
        <xdr:cNvSpPr/>
      </xdr:nvSpPr>
      <xdr:spPr>
        <a:xfrm>
          <a:off x="3108896" y="5830679"/>
          <a:ext cx="2196472" cy="4593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800" b="1">
              <a:solidFill>
                <a:schemeClr val="tx1"/>
              </a:solidFill>
            </a:rPr>
            <a:t>78,76% </a:t>
          </a:r>
          <a:r>
            <a:rPr lang="en-ID" sz="1800" b="1">
              <a:solidFill>
                <a:schemeClr val="tx1"/>
              </a:solidFill>
            </a:rPr>
            <a:t>Dewasa</a:t>
          </a:r>
          <a:endParaRPr lang="en-ID" sz="2800" b="1">
            <a:solidFill>
              <a:schemeClr val="tx1"/>
            </a:solidFill>
          </a:endParaRPr>
        </a:p>
      </xdr:txBody>
    </xdr:sp>
    <xdr:clientData/>
  </xdr:twoCellAnchor>
  <xdr:twoCellAnchor editAs="oneCell">
    <xdr:from>
      <xdr:col>1</xdr:col>
      <xdr:colOff>632620</xdr:colOff>
      <xdr:row>31</xdr:row>
      <xdr:rowOff>158271</xdr:rowOff>
    </xdr:from>
    <xdr:to>
      <xdr:col>1</xdr:col>
      <xdr:colOff>2632281</xdr:colOff>
      <xdr:row>35</xdr:row>
      <xdr:rowOff>166276</xdr:rowOff>
    </xdr:to>
    <xdr:pic>
      <xdr:nvPicPr>
        <xdr:cNvPr id="31" name="Picture 30">
          <a:extLst>
            <a:ext uri="{FF2B5EF4-FFF2-40B4-BE49-F238E27FC236}">
              <a16:creationId xmlns:a16="http://schemas.microsoft.com/office/drawing/2014/main" id="{97601967-1167-FE9F-EC3B-265DFA2E538C}"/>
            </a:ext>
          </a:extLst>
        </xdr:cNvPr>
        <xdr:cNvPicPr>
          <a:picLocks noChangeAspect="1"/>
        </xdr:cNvPicPr>
      </xdr:nvPicPr>
      <xdr:blipFill>
        <a:blip xmlns:r="http://schemas.openxmlformats.org/officeDocument/2006/relationships" r:embed="rId6"/>
        <a:stretch>
          <a:fillRect/>
        </a:stretch>
      </xdr:blipFill>
      <xdr:spPr>
        <a:xfrm>
          <a:off x="3054691" y="6608057"/>
          <a:ext cx="1999661" cy="733719"/>
        </a:xfrm>
        <a:prstGeom prst="rect">
          <a:avLst/>
        </a:prstGeom>
      </xdr:spPr>
    </xdr:pic>
    <xdr:clientData/>
  </xdr:twoCellAnchor>
  <xdr:twoCellAnchor>
    <xdr:from>
      <xdr:col>15</xdr:col>
      <xdr:colOff>438897</xdr:colOff>
      <xdr:row>26</xdr:row>
      <xdr:rowOff>74707</xdr:rowOff>
    </xdr:from>
    <xdr:to>
      <xdr:col>19</xdr:col>
      <xdr:colOff>214779</xdr:colOff>
      <xdr:row>29</xdr:row>
      <xdr:rowOff>140073</xdr:rowOff>
    </xdr:to>
    <xdr:sp macro="" textlink="">
      <xdr:nvSpPr>
        <xdr:cNvPr id="3" name="Rectangle 2">
          <a:extLst>
            <a:ext uri="{FF2B5EF4-FFF2-40B4-BE49-F238E27FC236}">
              <a16:creationId xmlns:a16="http://schemas.microsoft.com/office/drawing/2014/main" id="{5BF35DEE-048F-8468-BEE0-262AD267A3D6}"/>
            </a:ext>
          </a:extLst>
        </xdr:cNvPr>
        <xdr:cNvSpPr/>
      </xdr:nvSpPr>
      <xdr:spPr>
        <a:xfrm>
          <a:off x="17817353" y="5696325"/>
          <a:ext cx="2203823" cy="625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600" b="1">
              <a:solidFill>
                <a:sysClr val="windowText" lastClr="000000"/>
              </a:solidFill>
            </a:rPr>
            <a:t>Laporan Kasus TBC </a:t>
          </a:r>
          <a:r>
            <a:rPr lang="en-ID" sz="1400" b="0">
              <a:solidFill>
                <a:sysClr val="windowText" lastClr="000000"/>
              </a:solidFill>
            </a:rPr>
            <a:t>(2019-2024)</a:t>
          </a:r>
          <a:endParaRPr lang="en-ID" sz="1600" b="0">
            <a:solidFill>
              <a:sysClr val="windowText" lastClr="000000"/>
            </a:solidFill>
          </a:endParaRPr>
        </a:p>
      </xdr:txBody>
    </xdr:sp>
    <xdr:clientData/>
  </xdr:twoCellAnchor>
  <xdr:twoCellAnchor>
    <xdr:from>
      <xdr:col>16</xdr:col>
      <xdr:colOff>386603</xdr:colOff>
      <xdr:row>37</xdr:row>
      <xdr:rowOff>66302</xdr:rowOff>
    </xdr:from>
    <xdr:to>
      <xdr:col>19</xdr:col>
      <xdr:colOff>19797</xdr:colOff>
      <xdr:row>39</xdr:row>
      <xdr:rowOff>159684</xdr:rowOff>
    </xdr:to>
    <xdr:sp macro="" textlink="Laporan_tbc_perkota!D12">
      <xdr:nvSpPr>
        <xdr:cNvPr id="9" name="Rectangle 8">
          <a:extLst>
            <a:ext uri="{FF2B5EF4-FFF2-40B4-BE49-F238E27FC236}">
              <a16:creationId xmlns:a16="http://schemas.microsoft.com/office/drawing/2014/main" id="{D0FA099D-0174-6DCC-A788-1280BB8F0200}"/>
            </a:ext>
            <a:ext uri="{147F2762-F138-4A5C-976F-8EAC2B608ADB}">
              <a16:predDERef xmlns:a16="http://schemas.microsoft.com/office/drawing/2014/main" pred="{5BF35DEE-048F-8468-BEE0-262AD267A3D6}"/>
            </a:ext>
          </a:extLst>
        </xdr:cNvPr>
        <xdr:cNvSpPr/>
      </xdr:nvSpPr>
      <xdr:spPr>
        <a:xfrm>
          <a:off x="17884028" y="7543427"/>
          <a:ext cx="1461994" cy="4553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4A6768-F78E-49FA-B18E-7955494D826F}" type="TxLink">
            <a:rPr lang="en-US" sz="4800" b="1" i="0" u="none" strike="noStrike">
              <a:solidFill>
                <a:srgbClr val="FF0000"/>
              </a:solidFill>
              <a:latin typeface="Calibri"/>
              <a:ea typeface="Calibri"/>
              <a:cs typeface="Calibri"/>
            </a:rPr>
            <a:pPr algn="ctr"/>
            <a:t>842</a:t>
          </a:fld>
          <a:endParaRPr lang="en-ID" sz="4800" b="1">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70.395713194448" createdVersion="8" refreshedVersion="8" minRefreshableVersion="3" recordCount="162" xr:uid="{08A588A1-1E0E-4E76-86A6-C64C223230FC}">
  <cacheSource type="worksheet">
    <worksheetSource ref="A1:H163" sheet="Dataset"/>
  </cacheSource>
  <cacheFields count="8">
    <cacheField name="nama_kabupaten_kota" numFmtId="0">
      <sharedItems count="27">
        <s v="KABUPATEN BOGOR"/>
        <s v="KABUPATEN SUKABUMI"/>
        <s v="KABUPATEN CIANJUR"/>
        <s v="KABUPATEN BANDUNG"/>
        <s v="KABUPATEN GARUT"/>
        <s v="KABUPATEN TASIKMALAYA"/>
        <s v="KABUPATEN CIAMIS"/>
        <s v="KABUPATEN KUNINGAN"/>
        <s v="KABUPATEN CIREBON"/>
        <s v="KABUPATEN MAJALENGKA"/>
        <s v="KABUPATEN SUMEDANG"/>
        <s v="KABUPATEN INDRAMAYU"/>
        <s v="KABUPATEN SUBANG"/>
        <s v="KABUPATEN PURWAKARTA"/>
        <s v="KABUPATEN KARAWANG"/>
        <s v="KABUPATEN BEKASI"/>
        <s v="KABUPATEN BANDUNG BARAT"/>
        <s v="KABUPATEN PANGANDARAN"/>
        <s v="KOTA BOGOR"/>
        <s v="KOTA SUKABUMI"/>
        <s v="KOTA BANDUNG"/>
        <s v="KOTA CIREBON"/>
        <s v="KOTA BEKASI"/>
        <s v="KOTA DEPOK"/>
        <s v="KOTA CIMAHI"/>
        <s v="KOTA TASIKMALAYA"/>
        <s v="KOTA BANJAR"/>
      </sharedItems>
    </cacheField>
    <cacheField name="jumlah_total" numFmtId="0">
      <sharedItems containsSemiMixedTypes="0" containsString="0" containsNumber="1" containsInteger="1" minValue="269" maxValue="29110"/>
    </cacheField>
    <cacheField name="tahun" numFmtId="0">
      <sharedItems containsSemiMixedTypes="0" containsString="0" containsNumber="1" containsInteger="1" minValue="2019" maxValue="2024" count="6">
        <n v="2019"/>
        <n v="2020"/>
        <n v="2021"/>
        <n v="2022"/>
        <n v="2023"/>
        <n v="2024"/>
      </sharedItems>
    </cacheField>
    <cacheField name="total_sembuh" numFmtId="0">
      <sharedItems containsSemiMixedTypes="0" containsString="0" containsNumber="1" containsInteger="1" minValue="186" maxValue="21696"/>
    </cacheField>
    <cacheField name="jumlah_kematian" numFmtId="0">
      <sharedItems containsSemiMixedTypes="0" containsString="0" containsNumber="1" containsInteger="1" minValue="1" maxValue="680"/>
    </cacheField>
    <cacheField name="jumlah_anak" numFmtId="0">
      <sharedItems containsSemiMixedTypes="0" containsString="0" containsNumber="1" containsInteger="1" minValue="1" maxValue="6625" count="158">
        <n v="2035"/>
        <n v="1015"/>
        <n v="1122"/>
        <n v="2387"/>
        <n v="507"/>
        <n v="234"/>
        <n v="79"/>
        <n v="201"/>
        <n v="407"/>
        <n v="256"/>
        <n v="457"/>
        <n v="530"/>
        <n v="762"/>
        <n v="488"/>
        <n v="394"/>
        <n v="334"/>
        <n v="342"/>
        <n v="16"/>
        <n v="537"/>
        <n v="313"/>
        <n v="3530"/>
        <n v="195"/>
        <n v="968"/>
        <n v="500"/>
        <n v="860"/>
        <n v="113"/>
        <n v="43"/>
        <n v="897"/>
        <n v="374"/>
        <n v="817"/>
        <n v="1611"/>
        <n v="534"/>
        <n v="88"/>
        <n v="217"/>
        <n v="144"/>
        <n v="229"/>
        <n v="224"/>
        <n v="168"/>
        <n v="654"/>
        <n v="368"/>
        <n v="288"/>
        <n v="481"/>
        <n v="198"/>
        <n v="49"/>
        <n v="171"/>
        <n v="200"/>
        <n v="1899"/>
        <n v="163"/>
        <n v="643"/>
        <n v="367"/>
        <n v="358"/>
        <n v="78"/>
        <n v="1174"/>
        <n v="619"/>
        <n v="1108"/>
        <n v="1255"/>
        <n v="885"/>
        <n v="161"/>
        <n v="230"/>
        <n v="91"/>
        <n v="280"/>
        <n v="182"/>
        <n v="184"/>
        <n v="383"/>
        <n v="728"/>
        <n v="562"/>
        <n v="489"/>
        <n v="449"/>
        <n v="75"/>
        <n v="461"/>
        <n v="2260"/>
        <n v="402"/>
        <n v="550"/>
        <n v="398"/>
        <n v="427"/>
        <n v="263"/>
        <n v="1"/>
        <n v="3917"/>
        <n v="1764"/>
        <n v="2347"/>
        <n v="3266"/>
        <n v="2374"/>
        <n v="346"/>
        <n v="700"/>
        <n v="297"/>
        <n v="1039"/>
        <n v="830"/>
        <n v="600"/>
        <n v="665"/>
        <n v="1631"/>
        <n v="1734"/>
        <n v="1660"/>
        <n v="1590"/>
        <n v="541"/>
        <n v="170"/>
        <n v="1464"/>
        <n v="420"/>
        <n v="5257"/>
        <n v="915"/>
        <n v="2043"/>
        <n v="1502"/>
        <n v="1912"/>
        <n v="863"/>
        <n v="66"/>
        <n v="4808"/>
        <n v="2230"/>
        <n v="2987"/>
        <n v="4103"/>
        <n v="2546"/>
        <n v="373"/>
        <n v="657"/>
        <n v="529"/>
        <n v="1194"/>
        <n v="1008"/>
        <n v="686"/>
        <n v="1060"/>
        <n v="1765"/>
        <n v="1937"/>
        <n v="3008"/>
        <n v="2354"/>
        <n v="1100"/>
        <n v="221"/>
        <n v="1855"/>
        <n v="590"/>
        <n v="6625"/>
        <n v="1259"/>
        <n v="3072"/>
        <n v="1594"/>
        <n v="1473"/>
        <n v="1709"/>
        <n v="250"/>
        <n v="4426"/>
        <n v="3041"/>
        <n v="3582"/>
        <n v="4323"/>
        <n v="2479"/>
        <n v="741"/>
        <n v="567"/>
        <n v="551"/>
        <n v="1632"/>
        <n v="946"/>
        <n v="1150"/>
        <n v="1121"/>
        <n v="1816"/>
        <n v="1195"/>
        <n v="2722"/>
        <n v="2457"/>
        <n v="1131"/>
        <n v="179"/>
        <n v="2145"/>
        <n v="652"/>
        <n v="6434"/>
        <n v="1111"/>
        <n v="2762"/>
        <n v="1382"/>
        <n v="1438"/>
        <n v="1696"/>
        <n v="513"/>
      </sharedItems>
    </cacheField>
    <cacheField name="total_diobati" numFmtId="0">
      <sharedItems containsSemiMixedTypes="0" containsString="0" containsNumber="1" containsInteger="1" minValue="268" maxValue="25464"/>
    </cacheField>
    <cacheField name="jumlah_dewasa" numFmtId="0">
      <sharedItems containsSemiMixedTypes="0" containsString="0" containsNumber="1" containsInteger="1" minValue="268" maxValue="24684" count="159">
        <n v="13531"/>
        <n v="5050"/>
        <n v="3953"/>
        <n v="5184"/>
        <n v="3059"/>
        <n v="2216"/>
        <n v="1405"/>
        <n v="2219"/>
        <n v="4922"/>
        <n v="1903"/>
        <n v="1633"/>
        <n v="1785"/>
        <n v="2480"/>
        <n v="1656"/>
        <n v="4449"/>
        <n v="3822"/>
        <n v="1783"/>
        <n v="302"/>
        <n v="3298"/>
        <n v="1507"/>
        <n v="8429"/>
        <n v="1483"/>
        <n v="6749"/>
        <n v="4195"/>
        <n v="1707"/>
        <n v="1321"/>
        <n v="797"/>
        <n v="9351"/>
        <n v="3072"/>
        <n v="3351"/>
        <n v="4505"/>
        <n v="3113"/>
        <n v="1620"/>
        <n v="1217"/>
        <n v="1655"/>
        <n v="3174"/>
        <n v="1534"/>
        <n v="1136"/>
        <n v="1267"/>
        <n v="2407"/>
        <n v="1368"/>
        <n v="3708"/>
        <n v="4123"/>
        <n v="1241"/>
        <n v="309"/>
        <n v="1725"/>
        <n v="1023"/>
        <n v="6363"/>
        <n v="1039"/>
        <n v="4580"/>
        <n v="2944"/>
        <n v="1361"/>
        <n v="885"/>
        <n v="304"/>
        <n v="10772"/>
        <n v="4186"/>
        <n v="3565"/>
        <n v="4453"/>
        <n v="3901"/>
        <n v="1834"/>
        <n v="1376"/>
        <n v="1560"/>
        <n v="3103"/>
        <n v="1541"/>
        <n v="1188"/>
        <n v="1318"/>
        <n v="2184"/>
        <n v="1848"/>
        <n v="4039"/>
        <n v="4349"/>
        <n v="1554"/>
        <n v="335"/>
        <n v="979"/>
        <n v="6659"/>
        <n v="1508"/>
        <n v="5501"/>
        <n v="3644"/>
        <n v="1355"/>
        <n v="1213"/>
        <n v="268"/>
        <n v="17599"/>
        <n v="5727"/>
        <n v="4712"/>
        <n v="7384"/>
        <n v="5546"/>
        <n v="2764"/>
        <n v="2246"/>
        <n v="2144"/>
        <n v="5942"/>
        <n v="2332"/>
        <n v="1901"/>
        <n v="2064"/>
        <n v="3138"/>
        <n v="2855"/>
        <n v="6360"/>
        <n v="6789"/>
        <n v="2502"/>
        <n v="564"/>
        <n v="6276"/>
        <n v="1963"/>
        <n v="9284"/>
        <n v="1845"/>
        <n v="8704"/>
        <n v="5047"/>
        <n v="2409"/>
        <n v="1975"/>
        <n v="676"/>
        <n v="22882"/>
        <n v="8720"/>
        <n v="6340"/>
        <n v="8594"/>
        <n v="6069"/>
        <n v="3155"/>
        <n v="2385"/>
        <n v="3176"/>
        <n v="7044"/>
        <n v="3310"/>
        <n v="2334"/>
        <n v="4088"/>
        <n v="3670"/>
        <n v="9860"/>
        <n v="11161"/>
        <n v="3078"/>
        <n v="733"/>
        <n v="8499"/>
        <n v="2841"/>
        <n v="11702"/>
        <n v="2868"/>
        <n v="11207"/>
        <n v="6255"/>
        <n v="3129"/>
        <n v="3040"/>
        <n v="925"/>
        <n v="24684"/>
        <n v="9370"/>
        <n v="8615"/>
        <n v="9689"/>
        <n v="7037"/>
        <n v="4140"/>
        <n v="2910"/>
        <n v="3494"/>
        <n v="7955"/>
        <n v="3571"/>
        <n v="2780"/>
        <n v="4971"/>
        <n v="3492"/>
        <n v="10752"/>
        <n v="13001"/>
        <n v="3438"/>
        <n v="789"/>
        <n v="9273"/>
        <n v="2825"/>
        <n v="12193"/>
        <n v="3011"/>
        <n v="10878"/>
        <n v="7040"/>
        <n v="3075"/>
        <n v="2997"/>
        <n v="1006"/>
      </sharedItems>
    </cacheField>
  </cacheFields>
  <extLst>
    <ext xmlns:x14="http://schemas.microsoft.com/office/spreadsheetml/2009/9/main" uri="{725AE2AE-9491-48be-B2B4-4EB974FC3084}">
      <x14:pivotCacheDefinition pivotCacheId="890876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n v="15566"/>
    <x v="0"/>
    <n v="11979"/>
    <n v="173"/>
    <x v="0"/>
    <n v="13440"/>
    <x v="0"/>
  </r>
  <r>
    <x v="1"/>
    <n v="6065"/>
    <x v="0"/>
    <n v="3998"/>
    <n v="13"/>
    <x v="1"/>
    <n v="4174"/>
    <x v="1"/>
  </r>
  <r>
    <x v="2"/>
    <n v="5075"/>
    <x v="0"/>
    <n v="4270"/>
    <n v="26"/>
    <x v="2"/>
    <n v="4509"/>
    <x v="2"/>
  </r>
  <r>
    <x v="3"/>
    <n v="7571"/>
    <x v="0"/>
    <n v="6052"/>
    <n v="153"/>
    <x v="3"/>
    <n v="6859"/>
    <x v="3"/>
  </r>
  <r>
    <x v="4"/>
    <n v="3566"/>
    <x v="0"/>
    <n v="2590"/>
    <n v="44"/>
    <x v="4"/>
    <n v="3080"/>
    <x v="4"/>
  </r>
  <r>
    <x v="5"/>
    <n v="2450"/>
    <x v="0"/>
    <n v="1972"/>
    <n v="78"/>
    <x v="5"/>
    <n v="2204"/>
    <x v="5"/>
  </r>
  <r>
    <x v="6"/>
    <n v="1484"/>
    <x v="0"/>
    <n v="1538"/>
    <n v="33"/>
    <x v="6"/>
    <n v="1630"/>
    <x v="6"/>
  </r>
  <r>
    <x v="7"/>
    <n v="2420"/>
    <x v="0"/>
    <n v="2063"/>
    <n v="59"/>
    <x v="7"/>
    <n v="2249"/>
    <x v="7"/>
  </r>
  <r>
    <x v="8"/>
    <n v="5329"/>
    <x v="0"/>
    <n v="4145"/>
    <n v="104"/>
    <x v="8"/>
    <n v="4570"/>
    <x v="8"/>
  </r>
  <r>
    <x v="9"/>
    <n v="2159"/>
    <x v="0"/>
    <n v="1521"/>
    <n v="18"/>
    <x v="9"/>
    <n v="1540"/>
    <x v="9"/>
  </r>
  <r>
    <x v="10"/>
    <n v="2090"/>
    <x v="0"/>
    <n v="1583"/>
    <n v="57"/>
    <x v="10"/>
    <n v="1799"/>
    <x v="10"/>
  </r>
  <r>
    <x v="11"/>
    <n v="2315"/>
    <x v="0"/>
    <n v="1863"/>
    <n v="72"/>
    <x v="11"/>
    <n v="2614"/>
    <x v="11"/>
  </r>
  <r>
    <x v="12"/>
    <n v="3242"/>
    <x v="0"/>
    <n v="2459"/>
    <n v="58"/>
    <x v="12"/>
    <n v="2665"/>
    <x v="12"/>
  </r>
  <r>
    <x v="13"/>
    <n v="2144"/>
    <x v="0"/>
    <n v="1210"/>
    <n v="15"/>
    <x v="13"/>
    <n v="1334"/>
    <x v="13"/>
  </r>
  <r>
    <x v="14"/>
    <n v="4843"/>
    <x v="0"/>
    <n v="2985"/>
    <n v="55"/>
    <x v="14"/>
    <n v="3985"/>
    <x v="14"/>
  </r>
  <r>
    <x v="15"/>
    <n v="4156"/>
    <x v="0"/>
    <n v="3165"/>
    <n v="21"/>
    <x v="15"/>
    <n v="3551"/>
    <x v="15"/>
  </r>
  <r>
    <x v="16"/>
    <n v="2125"/>
    <x v="0"/>
    <n v="1019"/>
    <n v="34"/>
    <x v="16"/>
    <n v="1713"/>
    <x v="16"/>
  </r>
  <r>
    <x v="17"/>
    <n v="318"/>
    <x v="0"/>
    <n v="186"/>
    <n v="1"/>
    <x v="17"/>
    <n v="375"/>
    <x v="17"/>
  </r>
  <r>
    <x v="18"/>
    <n v="3835"/>
    <x v="0"/>
    <n v="2908"/>
    <n v="83"/>
    <x v="18"/>
    <n v="3688"/>
    <x v="18"/>
  </r>
  <r>
    <x v="19"/>
    <n v="1820"/>
    <x v="0"/>
    <n v="1470"/>
    <n v="22"/>
    <x v="19"/>
    <n v="1550"/>
    <x v="19"/>
  </r>
  <r>
    <x v="20"/>
    <n v="11959"/>
    <x v="0"/>
    <n v="8081"/>
    <n v="187"/>
    <x v="20"/>
    <n v="10086"/>
    <x v="20"/>
  </r>
  <r>
    <x v="21"/>
    <n v="1678"/>
    <x v="0"/>
    <n v="1069"/>
    <n v="11"/>
    <x v="21"/>
    <n v="1355"/>
    <x v="21"/>
  </r>
  <r>
    <x v="22"/>
    <n v="7717"/>
    <x v="0"/>
    <n v="4272"/>
    <n v="64"/>
    <x v="22"/>
    <n v="5989"/>
    <x v="22"/>
  </r>
  <r>
    <x v="23"/>
    <n v="4695"/>
    <x v="0"/>
    <n v="3395"/>
    <n v="76"/>
    <x v="23"/>
    <n v="3799"/>
    <x v="23"/>
  </r>
  <r>
    <x v="24"/>
    <n v="2567"/>
    <x v="0"/>
    <n v="2265"/>
    <n v="11"/>
    <x v="24"/>
    <n v="2367"/>
    <x v="24"/>
  </r>
  <r>
    <x v="25"/>
    <n v="1434"/>
    <x v="0"/>
    <n v="1219"/>
    <n v="41"/>
    <x v="25"/>
    <n v="1358"/>
    <x v="25"/>
  </r>
  <r>
    <x v="26"/>
    <n v="840"/>
    <x v="0"/>
    <n v="666"/>
    <n v="3"/>
    <x v="26"/>
    <n v="674"/>
    <x v="26"/>
  </r>
  <r>
    <x v="0"/>
    <n v="10248"/>
    <x v="1"/>
    <n v="13372"/>
    <n v="173"/>
    <x v="27"/>
    <n v="16332"/>
    <x v="27"/>
  </r>
  <r>
    <x v="1"/>
    <n v="3446"/>
    <x v="1"/>
    <n v="3666"/>
    <n v="5"/>
    <x v="28"/>
    <n v="5828"/>
    <x v="28"/>
  </r>
  <r>
    <x v="2"/>
    <n v="4168"/>
    <x v="1"/>
    <n v="4378"/>
    <n v="20"/>
    <x v="29"/>
    <n v="5068"/>
    <x v="29"/>
  </r>
  <r>
    <x v="3"/>
    <n v="6116"/>
    <x v="1"/>
    <n v="6738"/>
    <n v="148"/>
    <x v="30"/>
    <n v="7595"/>
    <x v="30"/>
  </r>
  <r>
    <x v="4"/>
    <n v="3647"/>
    <x v="1"/>
    <n v="3301"/>
    <n v="62"/>
    <x v="31"/>
    <n v="3516"/>
    <x v="31"/>
  </r>
  <r>
    <x v="5"/>
    <n v="1708"/>
    <x v="1"/>
    <n v="2306"/>
    <n v="98"/>
    <x v="32"/>
    <n v="2620"/>
    <x v="32"/>
  </r>
  <r>
    <x v="6"/>
    <n v="1434"/>
    <x v="1"/>
    <n v="1385"/>
    <n v="29"/>
    <x v="33"/>
    <n v="1521"/>
    <x v="33"/>
  </r>
  <r>
    <x v="7"/>
    <n v="1799"/>
    <x v="1"/>
    <n v="2240"/>
    <n v="79"/>
    <x v="34"/>
    <n v="2418"/>
    <x v="34"/>
  </r>
  <r>
    <x v="8"/>
    <n v="3403"/>
    <x v="1"/>
    <n v="4989"/>
    <n v="109"/>
    <x v="35"/>
    <n v="5395"/>
    <x v="35"/>
  </r>
  <r>
    <x v="9"/>
    <n v="1758"/>
    <x v="1"/>
    <n v="2135"/>
    <n v="24"/>
    <x v="36"/>
    <n v="2159"/>
    <x v="36"/>
  </r>
  <r>
    <x v="10"/>
    <n v="1304"/>
    <x v="1"/>
    <n v="1724"/>
    <n v="73"/>
    <x v="37"/>
    <n v="2164"/>
    <x v="37"/>
  </r>
  <r>
    <x v="11"/>
    <n v="1496"/>
    <x v="1"/>
    <n v="2401"/>
    <n v="77"/>
    <x v="35"/>
    <n v="2689"/>
    <x v="38"/>
  </r>
  <r>
    <x v="12"/>
    <n v="3061"/>
    <x v="1"/>
    <n v="2979"/>
    <n v="90"/>
    <x v="38"/>
    <n v="3242"/>
    <x v="39"/>
  </r>
  <r>
    <x v="13"/>
    <n v="1736"/>
    <x v="1"/>
    <n v="1958"/>
    <n v="25"/>
    <x v="39"/>
    <n v="2149"/>
    <x v="40"/>
  </r>
  <r>
    <x v="14"/>
    <n v="3996"/>
    <x v="1"/>
    <n v="3925"/>
    <n v="76"/>
    <x v="40"/>
    <n v="5280"/>
    <x v="41"/>
  </r>
  <r>
    <x v="15"/>
    <n v="4604"/>
    <x v="1"/>
    <n v="3830"/>
    <n v="42"/>
    <x v="41"/>
    <n v="4582"/>
    <x v="42"/>
  </r>
  <r>
    <x v="16"/>
    <n v="1439"/>
    <x v="1"/>
    <n v="1839"/>
    <n v="51"/>
    <x v="42"/>
    <n v="2102"/>
    <x v="43"/>
  </r>
  <r>
    <x v="17"/>
    <n v="358"/>
    <x v="1"/>
    <n v="310"/>
    <n v="4"/>
    <x v="43"/>
    <n v="333"/>
    <x v="44"/>
  </r>
  <r>
    <x v="18"/>
    <n v="1896"/>
    <x v="1"/>
    <n v="3220"/>
    <n v="35"/>
    <x v="44"/>
    <n v="3833"/>
    <x v="45"/>
  </r>
  <r>
    <x v="19"/>
    <n v="1223"/>
    <x v="1"/>
    <n v="1721"/>
    <n v="13"/>
    <x v="45"/>
    <n v="1820"/>
    <x v="46"/>
  </r>
  <r>
    <x v="20"/>
    <n v="8262"/>
    <x v="1"/>
    <n v="10018"/>
    <n v="206"/>
    <x v="46"/>
    <n v="11952"/>
    <x v="47"/>
  </r>
  <r>
    <x v="21"/>
    <n v="1202"/>
    <x v="1"/>
    <n v="1579"/>
    <n v="18"/>
    <x v="47"/>
    <n v="1727"/>
    <x v="48"/>
  </r>
  <r>
    <x v="22"/>
    <n v="5223"/>
    <x v="1"/>
    <n v="5865"/>
    <n v="71"/>
    <x v="48"/>
    <n v="7818"/>
    <x v="49"/>
  </r>
  <r>
    <x v="23"/>
    <n v="3311"/>
    <x v="1"/>
    <n v="4178"/>
    <n v="88"/>
    <x v="49"/>
    <n v="4695"/>
    <x v="50"/>
  </r>
  <r>
    <x v="24"/>
    <n v="1719"/>
    <x v="1"/>
    <n v="2251"/>
    <n v="7"/>
    <x v="50"/>
    <n v="2590"/>
    <x v="51"/>
  </r>
  <r>
    <x v="25"/>
    <n v="963"/>
    <x v="1"/>
    <n v="1302"/>
    <n v="40"/>
    <x v="51"/>
    <n v="1462"/>
    <x v="52"/>
  </r>
  <r>
    <x v="26"/>
    <n v="320"/>
    <x v="1"/>
    <n v="830"/>
    <n v="6"/>
    <x v="17"/>
    <n v="840"/>
    <x v="53"/>
  </r>
  <r>
    <x v="0"/>
    <n v="11946"/>
    <x v="2"/>
    <n v="9624"/>
    <n v="218"/>
    <x v="52"/>
    <n v="11165"/>
    <x v="54"/>
  </r>
  <r>
    <x v="1"/>
    <n v="4805"/>
    <x v="2"/>
    <n v="3125"/>
    <n v="17"/>
    <x v="53"/>
    <n v="3993"/>
    <x v="55"/>
  </r>
  <r>
    <x v="2"/>
    <n v="4673"/>
    <x v="2"/>
    <n v="4093"/>
    <n v="84"/>
    <x v="54"/>
    <n v="4349"/>
    <x v="56"/>
  </r>
  <r>
    <x v="3"/>
    <n v="5708"/>
    <x v="2"/>
    <n v="5137"/>
    <n v="188"/>
    <x v="55"/>
    <n v="6309"/>
    <x v="57"/>
  </r>
  <r>
    <x v="4"/>
    <n v="4786"/>
    <x v="2"/>
    <n v="3854"/>
    <n v="93"/>
    <x v="56"/>
    <n v="4421"/>
    <x v="58"/>
  </r>
  <r>
    <x v="5"/>
    <n v="1995"/>
    <x v="2"/>
    <n v="1465"/>
    <n v="85"/>
    <x v="57"/>
    <n v="1838"/>
    <x v="59"/>
  </r>
  <r>
    <x v="6"/>
    <n v="1606"/>
    <x v="2"/>
    <n v="1379"/>
    <n v="43"/>
    <x v="58"/>
    <n v="1517"/>
    <x v="60"/>
  </r>
  <r>
    <x v="7"/>
    <n v="1651"/>
    <x v="2"/>
    <n v="1745"/>
    <n v="64"/>
    <x v="59"/>
    <n v="1865"/>
    <x v="61"/>
  </r>
  <r>
    <x v="8"/>
    <n v="3383"/>
    <x v="2"/>
    <n v="3017"/>
    <n v="108"/>
    <x v="60"/>
    <n v="3486"/>
    <x v="62"/>
  </r>
  <r>
    <x v="9"/>
    <n v="1723"/>
    <x v="2"/>
    <n v="1826"/>
    <n v="33"/>
    <x v="61"/>
    <n v="1862"/>
    <x v="63"/>
  </r>
  <r>
    <x v="10"/>
    <n v="1372"/>
    <x v="2"/>
    <n v="975"/>
    <n v="56"/>
    <x v="62"/>
    <n v="1393"/>
    <x v="64"/>
  </r>
  <r>
    <x v="11"/>
    <n v="1701"/>
    <x v="2"/>
    <n v="1126"/>
    <n v="34"/>
    <x v="63"/>
    <n v="1583"/>
    <x v="65"/>
  </r>
  <r>
    <x v="12"/>
    <n v="2912"/>
    <x v="2"/>
    <n v="2906"/>
    <n v="76"/>
    <x v="64"/>
    <n v="3118"/>
    <x v="66"/>
  </r>
  <r>
    <x v="13"/>
    <n v="2410"/>
    <x v="2"/>
    <n v="1642"/>
    <n v="33"/>
    <x v="65"/>
    <n v="1754"/>
    <x v="67"/>
  </r>
  <r>
    <x v="14"/>
    <n v="4528"/>
    <x v="2"/>
    <n v="3460"/>
    <n v="129"/>
    <x v="66"/>
    <n v="4398"/>
    <x v="68"/>
  </r>
  <r>
    <x v="15"/>
    <n v="4798"/>
    <x v="2"/>
    <n v="3184"/>
    <n v="47"/>
    <x v="67"/>
    <n v="4753"/>
    <x v="69"/>
  </r>
  <r>
    <x v="16"/>
    <n v="1736"/>
    <x v="2"/>
    <n v="1262"/>
    <n v="42"/>
    <x v="61"/>
    <n v="1508"/>
    <x v="70"/>
  </r>
  <r>
    <x v="17"/>
    <n v="410"/>
    <x v="2"/>
    <n v="372"/>
    <n v="17"/>
    <x v="68"/>
    <n v="452"/>
    <x v="71"/>
  </r>
  <r>
    <x v="18"/>
    <n v="1440"/>
    <x v="2"/>
    <n v="2000"/>
    <n v="38"/>
    <x v="69"/>
    <n v="2583"/>
    <x v="72"/>
  </r>
  <r>
    <x v="19"/>
    <n v="1223"/>
    <x v="2"/>
    <n v="1080"/>
    <n v="28"/>
    <x v="45"/>
    <n v="1257"/>
    <x v="46"/>
  </r>
  <r>
    <x v="20"/>
    <n v="8919"/>
    <x v="2"/>
    <n v="7295"/>
    <n v="276"/>
    <x v="70"/>
    <n v="8818"/>
    <x v="73"/>
  </r>
  <r>
    <x v="21"/>
    <n v="1910"/>
    <x v="2"/>
    <n v="1122"/>
    <n v="23"/>
    <x v="71"/>
    <n v="1221"/>
    <x v="74"/>
  </r>
  <r>
    <x v="22"/>
    <n v="6051"/>
    <x v="2"/>
    <n v="3392"/>
    <n v="92"/>
    <x v="72"/>
    <n v="5459"/>
    <x v="75"/>
  </r>
  <r>
    <x v="23"/>
    <n v="4042"/>
    <x v="2"/>
    <n v="2945"/>
    <n v="60"/>
    <x v="73"/>
    <n v="3410"/>
    <x v="76"/>
  </r>
  <r>
    <x v="24"/>
    <n v="1782"/>
    <x v="2"/>
    <n v="1644"/>
    <n v="24"/>
    <x v="74"/>
    <n v="1796"/>
    <x v="77"/>
  </r>
  <r>
    <x v="25"/>
    <n v="1476"/>
    <x v="2"/>
    <n v="897"/>
    <n v="23"/>
    <x v="75"/>
    <n v="1041"/>
    <x v="78"/>
  </r>
  <r>
    <x v="26"/>
    <n v="269"/>
    <x v="2"/>
    <n v="326"/>
    <n v="6"/>
    <x v="76"/>
    <n v="332"/>
    <x v="79"/>
  </r>
  <r>
    <x v="0"/>
    <n v="21516"/>
    <x v="3"/>
    <n v="10989"/>
    <n v="267"/>
    <x v="77"/>
    <n v="11886"/>
    <x v="80"/>
  </r>
  <r>
    <x v="1"/>
    <n v="7491"/>
    <x v="3"/>
    <n v="3612"/>
    <n v="31"/>
    <x v="78"/>
    <n v="4795"/>
    <x v="81"/>
  </r>
  <r>
    <x v="2"/>
    <n v="7059"/>
    <x v="3"/>
    <n v="4314"/>
    <n v="73"/>
    <x v="79"/>
    <n v="4644"/>
    <x v="82"/>
  </r>
  <r>
    <x v="3"/>
    <n v="10650"/>
    <x v="3"/>
    <n v="4811"/>
    <n v="147"/>
    <x v="80"/>
    <n v="5692"/>
    <x v="83"/>
  </r>
  <r>
    <x v="4"/>
    <n v="7920"/>
    <x v="3"/>
    <n v="4005"/>
    <n v="108"/>
    <x v="81"/>
    <n v="4746"/>
    <x v="84"/>
  </r>
  <r>
    <x v="5"/>
    <n v="3110"/>
    <x v="3"/>
    <n v="1776"/>
    <n v="114"/>
    <x v="82"/>
    <n v="2013"/>
    <x v="85"/>
  </r>
  <r>
    <x v="6"/>
    <n v="2946"/>
    <x v="3"/>
    <n v="1319"/>
    <n v="58"/>
    <x v="83"/>
    <n v="1606"/>
    <x v="86"/>
  </r>
  <r>
    <x v="7"/>
    <n v="2441"/>
    <x v="3"/>
    <n v="1521"/>
    <n v="72"/>
    <x v="84"/>
    <n v="1654"/>
    <x v="87"/>
  </r>
  <r>
    <x v="8"/>
    <n v="6981"/>
    <x v="3"/>
    <n v="3064"/>
    <n v="92"/>
    <x v="85"/>
    <n v="3381"/>
    <x v="88"/>
  </r>
  <r>
    <x v="9"/>
    <n v="3162"/>
    <x v="3"/>
    <n v="1670"/>
    <n v="34"/>
    <x v="86"/>
    <n v="1709"/>
    <x v="89"/>
  </r>
  <r>
    <x v="10"/>
    <n v="2501"/>
    <x v="3"/>
    <n v="1161"/>
    <n v="59"/>
    <x v="87"/>
    <n v="1367"/>
    <x v="90"/>
  </r>
  <r>
    <x v="11"/>
    <n v="2729"/>
    <x v="3"/>
    <n v="1200"/>
    <n v="44"/>
    <x v="88"/>
    <n v="1709"/>
    <x v="91"/>
  </r>
  <r>
    <x v="12"/>
    <n v="4769"/>
    <x v="3"/>
    <n v="2717"/>
    <n v="79"/>
    <x v="89"/>
    <n v="2911"/>
    <x v="92"/>
  </r>
  <r>
    <x v="13"/>
    <n v="4589"/>
    <x v="3"/>
    <n v="2105"/>
    <n v="59"/>
    <x v="90"/>
    <n v="2359"/>
    <x v="93"/>
  </r>
  <r>
    <x v="14"/>
    <n v="8020"/>
    <x v="3"/>
    <n v="3341"/>
    <n v="131"/>
    <x v="91"/>
    <n v="4530"/>
    <x v="94"/>
  </r>
  <r>
    <x v="15"/>
    <n v="8379"/>
    <x v="3"/>
    <n v="3275"/>
    <n v="78"/>
    <x v="92"/>
    <n v="4784"/>
    <x v="95"/>
  </r>
  <r>
    <x v="16"/>
    <n v="3043"/>
    <x v="3"/>
    <n v="1476"/>
    <n v="50"/>
    <x v="93"/>
    <n v="1721"/>
    <x v="96"/>
  </r>
  <r>
    <x v="17"/>
    <n v="734"/>
    <x v="3"/>
    <n v="371"/>
    <n v="11"/>
    <x v="94"/>
    <n v="410"/>
    <x v="97"/>
  </r>
  <r>
    <x v="18"/>
    <n v="7740"/>
    <x v="3"/>
    <n v="3245"/>
    <n v="156"/>
    <x v="95"/>
    <n v="4520"/>
    <x v="98"/>
  </r>
  <r>
    <x v="19"/>
    <n v="2383"/>
    <x v="3"/>
    <n v="1115"/>
    <n v="38"/>
    <x v="96"/>
    <n v="1454"/>
    <x v="99"/>
  </r>
  <r>
    <x v="20"/>
    <n v="14541"/>
    <x v="3"/>
    <n v="7277"/>
    <n v="305"/>
    <x v="97"/>
    <n v="8860"/>
    <x v="100"/>
  </r>
  <r>
    <x v="21"/>
    <n v="2760"/>
    <x v="3"/>
    <n v="1655"/>
    <n v="61"/>
    <x v="98"/>
    <n v="1906"/>
    <x v="101"/>
  </r>
  <r>
    <x v="22"/>
    <n v="10747"/>
    <x v="3"/>
    <n v="4524"/>
    <n v="114"/>
    <x v="99"/>
    <n v="6018"/>
    <x v="102"/>
  </r>
  <r>
    <x v="23"/>
    <n v="6549"/>
    <x v="3"/>
    <n v="3384"/>
    <n v="123"/>
    <x v="100"/>
    <n v="4020"/>
    <x v="103"/>
  </r>
  <r>
    <x v="24"/>
    <n v="4321"/>
    <x v="3"/>
    <n v="1566"/>
    <n v="24"/>
    <x v="101"/>
    <n v="1737"/>
    <x v="104"/>
  </r>
  <r>
    <x v="25"/>
    <n v="2838"/>
    <x v="3"/>
    <n v="1270"/>
    <n v="44"/>
    <x v="102"/>
    <n v="1476"/>
    <x v="105"/>
  </r>
  <r>
    <x v="26"/>
    <n v="742"/>
    <x v="3"/>
    <n v="257"/>
    <n v="6"/>
    <x v="103"/>
    <n v="268"/>
    <x v="106"/>
  </r>
  <r>
    <x v="0"/>
    <n v="27690"/>
    <x v="4"/>
    <n v="19466"/>
    <n v="555"/>
    <x v="104"/>
    <n v="21924"/>
    <x v="107"/>
  </r>
  <r>
    <x v="1"/>
    <n v="10950"/>
    <x v="4"/>
    <n v="7124"/>
    <n v="55"/>
    <x v="105"/>
    <n v="7831"/>
    <x v="108"/>
  </r>
  <r>
    <x v="2"/>
    <n v="9327"/>
    <x v="4"/>
    <n v="6265"/>
    <n v="122"/>
    <x v="106"/>
    <n v="7144"/>
    <x v="109"/>
  </r>
  <r>
    <x v="3"/>
    <n v="12697"/>
    <x v="4"/>
    <n v="9014"/>
    <n v="414"/>
    <x v="107"/>
    <n v="11006"/>
    <x v="110"/>
  </r>
  <r>
    <x v="4"/>
    <n v="8615"/>
    <x v="4"/>
    <n v="6676"/>
    <n v="186"/>
    <x v="108"/>
    <n v="7986"/>
    <x v="111"/>
  </r>
  <r>
    <x v="5"/>
    <n v="3528"/>
    <x v="4"/>
    <n v="2683"/>
    <n v="147"/>
    <x v="109"/>
    <n v="3123"/>
    <x v="112"/>
  </r>
  <r>
    <x v="6"/>
    <n v="3042"/>
    <x v="4"/>
    <n v="2339"/>
    <n v="72"/>
    <x v="110"/>
    <n v="2942"/>
    <x v="113"/>
  </r>
  <r>
    <x v="7"/>
    <n v="3705"/>
    <x v="4"/>
    <n v="2245"/>
    <n v="76"/>
    <x v="111"/>
    <n v="2492"/>
    <x v="114"/>
  </r>
  <r>
    <x v="8"/>
    <n v="8238"/>
    <x v="4"/>
    <n v="6364"/>
    <n v="154"/>
    <x v="112"/>
    <n v="7138"/>
    <x v="115"/>
  </r>
  <r>
    <x v="9"/>
    <n v="4318"/>
    <x v="4"/>
    <n v="2616"/>
    <n v="60"/>
    <x v="113"/>
    <n v="3217"/>
    <x v="116"/>
  </r>
  <r>
    <x v="10"/>
    <n v="3020"/>
    <x v="4"/>
    <n v="2173"/>
    <n v="83"/>
    <x v="114"/>
    <n v="2535"/>
    <x v="117"/>
  </r>
  <r>
    <x v="11"/>
    <n v="5148"/>
    <x v="4"/>
    <n v="2720"/>
    <n v="105"/>
    <x v="115"/>
    <n v="3190"/>
    <x v="118"/>
  </r>
  <r>
    <x v="12"/>
    <n v="5666"/>
    <x v="4"/>
    <n v="4357"/>
    <n v="116"/>
    <x v="116"/>
    <n v="4830"/>
    <x v="58"/>
  </r>
  <r>
    <x v="13"/>
    <n v="5607"/>
    <x v="4"/>
    <n v="3913"/>
    <n v="79"/>
    <x v="117"/>
    <n v="4800"/>
    <x v="119"/>
  </r>
  <r>
    <x v="14"/>
    <n v="12868"/>
    <x v="4"/>
    <n v="6974"/>
    <n v="189"/>
    <x v="118"/>
    <n v="8449"/>
    <x v="120"/>
  </r>
  <r>
    <x v="15"/>
    <n v="13515"/>
    <x v="4"/>
    <n v="6295"/>
    <n v="128"/>
    <x v="119"/>
    <n v="8631"/>
    <x v="121"/>
  </r>
  <r>
    <x v="16"/>
    <n v="4178"/>
    <x v="4"/>
    <n v="2785"/>
    <n v="73"/>
    <x v="120"/>
    <n v="3171"/>
    <x v="122"/>
  </r>
  <r>
    <x v="17"/>
    <n v="954"/>
    <x v="4"/>
    <n v="645"/>
    <n v="34"/>
    <x v="121"/>
    <n v="755"/>
    <x v="123"/>
  </r>
  <r>
    <x v="18"/>
    <n v="10354"/>
    <x v="4"/>
    <n v="5905"/>
    <n v="270"/>
    <x v="122"/>
    <n v="7800"/>
    <x v="124"/>
  </r>
  <r>
    <x v="19"/>
    <n v="3431"/>
    <x v="4"/>
    <n v="1801"/>
    <n v="61"/>
    <x v="123"/>
    <n v="2426"/>
    <x v="125"/>
  </r>
  <r>
    <x v="20"/>
    <n v="18327"/>
    <x v="4"/>
    <n v="12269"/>
    <n v="424"/>
    <x v="124"/>
    <n v="14786"/>
    <x v="126"/>
  </r>
  <r>
    <x v="21"/>
    <n v="4127"/>
    <x v="4"/>
    <n v="2388"/>
    <n v="60"/>
    <x v="125"/>
    <n v="2874"/>
    <x v="127"/>
  </r>
  <r>
    <x v="22"/>
    <n v="14279"/>
    <x v="4"/>
    <n v="8455"/>
    <n v="196"/>
    <x v="126"/>
    <n v="11041"/>
    <x v="128"/>
  </r>
  <r>
    <x v="23"/>
    <n v="7849"/>
    <x v="4"/>
    <n v="5426"/>
    <n v="181"/>
    <x v="127"/>
    <n v="6636"/>
    <x v="129"/>
  </r>
  <r>
    <x v="24"/>
    <n v="4602"/>
    <x v="4"/>
    <n v="4110"/>
    <n v="38"/>
    <x v="128"/>
    <n v="4449"/>
    <x v="130"/>
  </r>
  <r>
    <x v="25"/>
    <n v="4749"/>
    <x v="4"/>
    <n v="2260"/>
    <n v="80"/>
    <x v="129"/>
    <n v="2875"/>
    <x v="131"/>
  </r>
  <r>
    <x v="26"/>
    <n v="1175"/>
    <x v="4"/>
    <n v="760"/>
    <n v="21"/>
    <x v="130"/>
    <n v="811"/>
    <x v="132"/>
  </r>
  <r>
    <x v="0"/>
    <n v="29110"/>
    <x v="5"/>
    <n v="21696"/>
    <n v="680"/>
    <x v="131"/>
    <n v="25464"/>
    <x v="133"/>
  </r>
  <r>
    <x v="1"/>
    <n v="12411"/>
    <x v="5"/>
    <n v="7540"/>
    <n v="73"/>
    <x v="132"/>
    <n v="9231"/>
    <x v="134"/>
  </r>
  <r>
    <x v="2"/>
    <n v="12197"/>
    <x v="5"/>
    <n v="6747"/>
    <n v="134"/>
    <x v="133"/>
    <n v="7623"/>
    <x v="135"/>
  </r>
  <r>
    <x v="3"/>
    <n v="14012"/>
    <x v="5"/>
    <n v="10844"/>
    <n v="272"/>
    <x v="134"/>
    <n v="12345"/>
    <x v="136"/>
  </r>
  <r>
    <x v="4"/>
    <n v="9516"/>
    <x v="5"/>
    <n v="6751"/>
    <n v="158"/>
    <x v="135"/>
    <n v="8271"/>
    <x v="137"/>
  </r>
  <r>
    <x v="5"/>
    <n v="4881"/>
    <x v="5"/>
    <n v="2908"/>
    <n v="157"/>
    <x v="136"/>
    <n v="3312"/>
    <x v="138"/>
  </r>
  <r>
    <x v="6"/>
    <n v="3477"/>
    <x v="5"/>
    <n v="2460"/>
    <n v="65"/>
    <x v="137"/>
    <n v="2895"/>
    <x v="139"/>
  </r>
  <r>
    <x v="7"/>
    <n v="4045"/>
    <x v="5"/>
    <n v="2580"/>
    <n v="81"/>
    <x v="138"/>
    <n v="3054"/>
    <x v="140"/>
  </r>
  <r>
    <x v="8"/>
    <n v="9587"/>
    <x v="5"/>
    <n v="6486"/>
    <n v="178"/>
    <x v="139"/>
    <n v="7681"/>
    <x v="141"/>
  </r>
  <r>
    <x v="9"/>
    <n v="4517"/>
    <x v="5"/>
    <n v="3167"/>
    <n v="87"/>
    <x v="140"/>
    <n v="3959"/>
    <x v="142"/>
  </r>
  <r>
    <x v="10"/>
    <n v="3930"/>
    <x v="5"/>
    <n v="2287"/>
    <n v="119"/>
    <x v="141"/>
    <n v="2726"/>
    <x v="143"/>
  </r>
  <r>
    <x v="11"/>
    <n v="6092"/>
    <x v="5"/>
    <n v="2905"/>
    <n v="135"/>
    <x v="142"/>
    <n v="4118"/>
    <x v="144"/>
  </r>
  <r>
    <x v="12"/>
    <n v="6321"/>
    <x v="5"/>
    <n v="4927"/>
    <n v="165"/>
    <x v="143"/>
    <n v="5728"/>
    <x v="30"/>
  </r>
  <r>
    <x v="13"/>
    <n v="4687"/>
    <x v="5"/>
    <n v="4063"/>
    <n v="98"/>
    <x v="144"/>
    <n v="5101"/>
    <x v="145"/>
  </r>
  <r>
    <x v="14"/>
    <n v="13474"/>
    <x v="5"/>
    <n v="8762"/>
    <n v="296"/>
    <x v="145"/>
    <n v="10671"/>
    <x v="146"/>
  </r>
  <r>
    <x v="15"/>
    <n v="15458"/>
    <x v="5"/>
    <n v="8527"/>
    <n v="154"/>
    <x v="146"/>
    <n v="11205"/>
    <x v="147"/>
  </r>
  <r>
    <x v="16"/>
    <n v="4569"/>
    <x v="5"/>
    <n v="3648"/>
    <n v="75"/>
    <x v="147"/>
    <n v="4017"/>
    <x v="148"/>
  </r>
  <r>
    <x v="17"/>
    <n v="968"/>
    <x v="5"/>
    <n v="747"/>
    <n v="38"/>
    <x v="148"/>
    <n v="861"/>
    <x v="149"/>
  </r>
  <r>
    <x v="18"/>
    <n v="11418"/>
    <x v="5"/>
    <n v="7290"/>
    <n v="341"/>
    <x v="149"/>
    <n v="9203"/>
    <x v="150"/>
  </r>
  <r>
    <x v="19"/>
    <n v="3477"/>
    <x v="5"/>
    <n v="1993"/>
    <n v="117"/>
    <x v="150"/>
    <n v="2937"/>
    <x v="151"/>
  </r>
  <r>
    <x v="20"/>
    <n v="18627"/>
    <x v="5"/>
    <n v="12026"/>
    <n v="489"/>
    <x v="151"/>
    <n v="16911"/>
    <x v="152"/>
  </r>
  <r>
    <x v="21"/>
    <n v="4122"/>
    <x v="5"/>
    <n v="2241"/>
    <n v="79"/>
    <x v="152"/>
    <n v="3731"/>
    <x v="153"/>
  </r>
  <r>
    <x v="22"/>
    <n v="13640"/>
    <x v="5"/>
    <n v="10232"/>
    <n v="252"/>
    <x v="153"/>
    <n v="12922"/>
    <x v="154"/>
  </r>
  <r>
    <x v="23"/>
    <n v="8422"/>
    <x v="5"/>
    <n v="5840"/>
    <n v="314"/>
    <x v="154"/>
    <n v="7258"/>
    <x v="155"/>
  </r>
  <r>
    <x v="24"/>
    <n v="4513"/>
    <x v="5"/>
    <n v="3610"/>
    <n v="58"/>
    <x v="155"/>
    <n v="3986"/>
    <x v="156"/>
  </r>
  <r>
    <x v="25"/>
    <n v="4693"/>
    <x v="5"/>
    <n v="3144"/>
    <n v="121"/>
    <x v="156"/>
    <n v="4018"/>
    <x v="157"/>
  </r>
  <r>
    <x v="26"/>
    <n v="1519"/>
    <x v="5"/>
    <n v="975"/>
    <n v="31"/>
    <x v="157"/>
    <n v="1080"/>
    <x v="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990CA-E1BE-4D11-AB28-B55AD043B991}" name="PivotTable1" cacheId="3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10" firstHeaderRow="0" firstDataRow="1" firstDataCol="1" rowPageCount="1" colPageCount="1"/>
  <pivotFields count="8">
    <pivotField name="nama_kabupaten_kota" axis="axisPage" multipleItemSelectionAllowed="1" showAll="0">
      <items count="28">
        <item h="1" x="3"/>
        <item h="1" x="16"/>
        <item h="1" x="15"/>
        <item h="1" x="0"/>
        <item h="1" x="6"/>
        <item h="1" x="2"/>
        <item h="1" x="8"/>
        <item h="1" x="4"/>
        <item h="1" x="11"/>
        <item h="1" x="14"/>
        <item h="1" x="7"/>
        <item h="1" x="9"/>
        <item h="1" x="17"/>
        <item h="1" x="13"/>
        <item h="1" x="12"/>
        <item h="1" x="1"/>
        <item h="1" x="10"/>
        <item h="1" x="5"/>
        <item h="1" x="20"/>
        <item h="1" x="26"/>
        <item h="1" x="22"/>
        <item h="1" x="18"/>
        <item h="1" x="24"/>
        <item h="1" x="21"/>
        <item x="23"/>
        <item h="1" x="19"/>
        <item h="1" x="25"/>
        <item t="default"/>
      </items>
    </pivotField>
    <pivotField dataField="1" showAll="0"/>
    <pivotField axis="axisRow" showAll="0">
      <items count="7">
        <item x="0"/>
        <item x="1"/>
        <item x="2"/>
        <item x="3"/>
        <item x="4"/>
        <item x="5"/>
        <item t="default"/>
      </items>
    </pivotField>
    <pivotField dataField="1" showAll="0"/>
    <pivotField dataField="1" showAll="0"/>
    <pivotField showAll="0"/>
    <pivotField dataField="1" showAll="0"/>
    <pivotField showAll="0"/>
  </pivotFields>
  <rowFields count="1">
    <field x="2"/>
  </rowFields>
  <rowItems count="7">
    <i>
      <x/>
    </i>
    <i>
      <x v="1"/>
    </i>
    <i>
      <x v="2"/>
    </i>
    <i>
      <x v="3"/>
    </i>
    <i>
      <x v="4"/>
    </i>
    <i>
      <x v="5"/>
    </i>
    <i t="grand">
      <x/>
    </i>
  </rowItems>
  <colFields count="1">
    <field x="-2"/>
  </colFields>
  <colItems count="4">
    <i>
      <x/>
    </i>
    <i i="1">
      <x v="1"/>
    </i>
    <i i="2">
      <x v="2"/>
    </i>
    <i i="3">
      <x v="3"/>
    </i>
  </colItems>
  <pageFields count="1">
    <pageField fld="0" hier="-1"/>
  </pageFields>
  <dataFields count="4">
    <dataField name="Jumlah Diobati" fld="6" baseField="2" baseItem="0"/>
    <dataField name="Jumlah Sembuh" fld="3" baseField="2" baseItem="0"/>
    <dataField name="Jumlah Kematian" fld="4" baseField="2" baseItem="0"/>
    <dataField name="Total Pengidap tbc" fld="1" baseField="2" baseItem="0"/>
  </dataFields>
  <chartFormats count="4">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3DCBC6-803E-4F02-BE1E-4452989CDC6E}" name="PivotTable2" cacheId="3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0" firstHeaderRow="0" firstDataRow="1" firstDataCol="1" rowPageCount="1" colPageCount="1"/>
  <pivotFields count="8">
    <pivotField axis="axisPage" multipleItemSelectionAllowed="1" showAll="0">
      <items count="28">
        <item h="1" x="3"/>
        <item h="1" x="16"/>
        <item h="1" x="15"/>
        <item h="1" x="0"/>
        <item h="1" x="6"/>
        <item h="1" x="2"/>
        <item h="1" x="8"/>
        <item h="1" x="4"/>
        <item h="1" x="11"/>
        <item h="1" x="14"/>
        <item h="1" x="7"/>
        <item h="1" x="9"/>
        <item h="1" x="17"/>
        <item h="1" x="13"/>
        <item h="1" x="12"/>
        <item h="1" x="1"/>
        <item h="1" x="10"/>
        <item h="1" x="5"/>
        <item h="1" x="20"/>
        <item h="1" x="26"/>
        <item h="1" x="22"/>
        <item h="1" x="18"/>
        <item h="1" x="24"/>
        <item h="1" x="21"/>
        <item x="23"/>
        <item h="1" x="19"/>
        <item h="1" x="25"/>
        <item t="default"/>
      </items>
    </pivotField>
    <pivotField showAll="0"/>
    <pivotField axis="axisRow" showAll="0">
      <items count="7">
        <item x="0"/>
        <item x="1"/>
        <item x="2"/>
        <item x="3"/>
        <item x="4"/>
        <item x="5"/>
        <item t="default"/>
      </items>
    </pivotField>
    <pivotField showAll="0"/>
    <pivotField showAll="0"/>
    <pivotField dataField="1" showAll="0">
      <items count="159">
        <item x="76"/>
        <item x="17"/>
        <item x="26"/>
        <item x="43"/>
        <item x="103"/>
        <item x="68"/>
        <item x="51"/>
        <item x="6"/>
        <item x="32"/>
        <item x="59"/>
        <item x="25"/>
        <item x="34"/>
        <item x="57"/>
        <item x="47"/>
        <item x="37"/>
        <item x="94"/>
        <item x="44"/>
        <item x="148"/>
        <item x="61"/>
        <item x="62"/>
        <item x="21"/>
        <item x="42"/>
        <item x="45"/>
        <item x="7"/>
        <item x="33"/>
        <item x="121"/>
        <item x="36"/>
        <item x="35"/>
        <item x="58"/>
        <item x="5"/>
        <item x="130"/>
        <item x="9"/>
        <item x="75"/>
        <item x="60"/>
        <item x="40"/>
        <item x="84"/>
        <item x="19"/>
        <item x="15"/>
        <item x="16"/>
        <item x="82"/>
        <item x="50"/>
        <item x="49"/>
        <item x="39"/>
        <item x="109"/>
        <item x="28"/>
        <item x="63"/>
        <item x="14"/>
        <item x="73"/>
        <item x="71"/>
        <item x="8"/>
        <item x="96"/>
        <item x="74"/>
        <item x="67"/>
        <item x="10"/>
        <item x="69"/>
        <item x="41"/>
        <item x="13"/>
        <item x="66"/>
        <item x="23"/>
        <item x="4"/>
        <item x="157"/>
        <item x="111"/>
        <item x="11"/>
        <item x="31"/>
        <item x="18"/>
        <item x="93"/>
        <item x="72"/>
        <item x="138"/>
        <item x="65"/>
        <item x="137"/>
        <item x="123"/>
        <item x="87"/>
        <item x="53"/>
        <item x="48"/>
        <item x="150"/>
        <item x="38"/>
        <item x="110"/>
        <item x="88"/>
        <item x="114"/>
        <item x="83"/>
        <item x="64"/>
        <item x="136"/>
        <item x="12"/>
        <item x="29"/>
        <item x="86"/>
        <item x="24"/>
        <item x="102"/>
        <item x="56"/>
        <item x="27"/>
        <item x="98"/>
        <item x="140"/>
        <item x="22"/>
        <item x="113"/>
        <item x="1"/>
        <item x="85"/>
        <item x="115"/>
        <item x="120"/>
        <item x="54"/>
        <item x="152"/>
        <item x="142"/>
        <item x="2"/>
        <item x="147"/>
        <item x="141"/>
        <item x="52"/>
        <item x="112"/>
        <item x="144"/>
        <item x="55"/>
        <item x="125"/>
        <item x="154"/>
        <item x="155"/>
        <item x="95"/>
        <item x="128"/>
        <item x="100"/>
        <item x="92"/>
        <item x="127"/>
        <item x="30"/>
        <item x="89"/>
        <item x="139"/>
        <item x="91"/>
        <item x="156"/>
        <item x="129"/>
        <item x="90"/>
        <item x="78"/>
        <item x="116"/>
        <item x="143"/>
        <item x="122"/>
        <item x="46"/>
        <item x="101"/>
        <item x="117"/>
        <item x="0"/>
        <item x="99"/>
        <item x="149"/>
        <item x="105"/>
        <item x="70"/>
        <item x="79"/>
        <item x="119"/>
        <item x="81"/>
        <item x="3"/>
        <item x="146"/>
        <item x="135"/>
        <item x="108"/>
        <item x="145"/>
        <item x="153"/>
        <item x="106"/>
        <item x="118"/>
        <item x="132"/>
        <item x="126"/>
        <item x="80"/>
        <item x="20"/>
        <item x="133"/>
        <item x="77"/>
        <item x="107"/>
        <item x="134"/>
        <item x="131"/>
        <item x="104"/>
        <item x="97"/>
        <item x="151"/>
        <item x="124"/>
        <item t="default"/>
      </items>
    </pivotField>
    <pivotField showAll="0"/>
    <pivotField dataField="1" showAll="0">
      <items count="160">
        <item x="79"/>
        <item x="17"/>
        <item x="53"/>
        <item x="44"/>
        <item x="71"/>
        <item x="97"/>
        <item x="106"/>
        <item x="123"/>
        <item x="149"/>
        <item x="26"/>
        <item x="52"/>
        <item x="132"/>
        <item x="72"/>
        <item x="158"/>
        <item x="46"/>
        <item x="48"/>
        <item x="37"/>
        <item x="64"/>
        <item x="78"/>
        <item x="33"/>
        <item x="43"/>
        <item x="38"/>
        <item x="65"/>
        <item x="25"/>
        <item x="77"/>
        <item x="51"/>
        <item x="40"/>
        <item x="60"/>
        <item x="6"/>
        <item x="21"/>
        <item x="19"/>
        <item x="74"/>
        <item x="36"/>
        <item x="63"/>
        <item x="70"/>
        <item x="61"/>
        <item x="32"/>
        <item x="10"/>
        <item x="34"/>
        <item x="13"/>
        <item x="24"/>
        <item x="45"/>
        <item x="16"/>
        <item x="11"/>
        <item x="59"/>
        <item x="101"/>
        <item x="67"/>
        <item x="90"/>
        <item x="9"/>
        <item x="99"/>
        <item x="105"/>
        <item x="91"/>
        <item x="87"/>
        <item x="66"/>
        <item x="5"/>
        <item x="7"/>
        <item x="86"/>
        <item x="89"/>
        <item x="117"/>
        <item x="113"/>
        <item x="39"/>
        <item x="104"/>
        <item x="12"/>
        <item x="96"/>
        <item x="85"/>
        <item x="143"/>
        <item x="151"/>
        <item x="125"/>
        <item x="93"/>
        <item x="127"/>
        <item x="139"/>
        <item x="50"/>
        <item x="157"/>
        <item x="153"/>
        <item x="131"/>
        <item x="4"/>
        <item x="28"/>
        <item x="156"/>
        <item x="122"/>
        <item x="62"/>
        <item x="31"/>
        <item x="130"/>
        <item x="92"/>
        <item x="112"/>
        <item x="35"/>
        <item x="114"/>
        <item x="18"/>
        <item x="116"/>
        <item x="29"/>
        <item x="148"/>
        <item x="145"/>
        <item x="140"/>
        <item x="56"/>
        <item x="142"/>
        <item x="76"/>
        <item x="119"/>
        <item x="41"/>
        <item x="15"/>
        <item x="58"/>
        <item x="2"/>
        <item x="68"/>
        <item x="118"/>
        <item x="42"/>
        <item x="138"/>
        <item x="55"/>
        <item x="23"/>
        <item x="69"/>
        <item x="14"/>
        <item x="57"/>
        <item x="30"/>
        <item x="49"/>
        <item x="82"/>
        <item x="8"/>
        <item x="144"/>
        <item x="103"/>
        <item x="1"/>
        <item x="3"/>
        <item x="75"/>
        <item x="84"/>
        <item x="81"/>
        <item x="88"/>
        <item x="111"/>
        <item x="129"/>
        <item x="98"/>
        <item x="109"/>
        <item x="94"/>
        <item x="47"/>
        <item x="73"/>
        <item x="22"/>
        <item x="95"/>
        <item x="137"/>
        <item x="155"/>
        <item x="115"/>
        <item x="83"/>
        <item x="141"/>
        <item x="20"/>
        <item x="124"/>
        <item x="110"/>
        <item x="135"/>
        <item x="102"/>
        <item x="108"/>
        <item x="150"/>
        <item x="100"/>
        <item x="27"/>
        <item x="134"/>
        <item x="136"/>
        <item x="120"/>
        <item x="146"/>
        <item x="54"/>
        <item x="154"/>
        <item x="121"/>
        <item x="128"/>
        <item x="126"/>
        <item x="152"/>
        <item x="147"/>
        <item x="0"/>
        <item x="80"/>
        <item x="107"/>
        <item x="133"/>
        <item t="default"/>
      </items>
    </pivotField>
  </pivotFields>
  <rowFields count="1">
    <field x="2"/>
  </rowFields>
  <rowItems count="7">
    <i>
      <x/>
    </i>
    <i>
      <x v="1"/>
    </i>
    <i>
      <x v="2"/>
    </i>
    <i>
      <x v="3"/>
    </i>
    <i>
      <x v="4"/>
    </i>
    <i>
      <x v="5"/>
    </i>
    <i t="grand">
      <x/>
    </i>
  </rowItems>
  <colFields count="1">
    <field x="-2"/>
  </colFields>
  <colItems count="2">
    <i>
      <x/>
    </i>
    <i i="1">
      <x v="1"/>
    </i>
  </colItems>
  <pageFields count="1">
    <pageField fld="0" hier="-1"/>
  </pageFields>
  <dataFields count="2">
    <dataField name="Sum of jumlah_dewasa" fld="7" baseField="0" baseItem="0"/>
    <dataField name="Sum of jumlah_anak" fld="5" baseField="0" baseItem="0"/>
  </dataFields>
  <chartFormats count="2">
    <chartFormat chart="4" format="353" series="1">
      <pivotArea type="data" outline="0" fieldPosition="0">
        <references count="1">
          <reference field="4294967294" count="1" selected="0">
            <x v="0"/>
          </reference>
        </references>
      </pivotArea>
    </chartFormat>
    <chartFormat chart="4" format="35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kabupaten_kota1" xr10:uid="{A94A4AF3-ED41-47E4-926A-7EDD9B1409E5}" sourceName="nama_kabupaten_kota">
  <pivotTables>
    <pivotTable tabId="15" name="PivotTable1"/>
    <pivotTable tabId="16" name="PivotTable2"/>
  </pivotTables>
  <data>
    <tabular pivotCacheId="890876211">
      <items count="27">
        <i x="3"/>
        <i x="16"/>
        <i x="15"/>
        <i x="0"/>
        <i x="6"/>
        <i x="2"/>
        <i x="8"/>
        <i x="4"/>
        <i x="11"/>
        <i x="14"/>
        <i x="7"/>
        <i x="9"/>
        <i x="17"/>
        <i x="13"/>
        <i x="12"/>
        <i x="1"/>
        <i x="10"/>
        <i x="5"/>
        <i x="20"/>
        <i x="26"/>
        <i x="22"/>
        <i x="18"/>
        <i x="24"/>
        <i x="21"/>
        <i x="23" s="1"/>
        <i x="19"/>
        <i x="2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bupaten/kota" xr10:uid="{E3ED805E-736A-4C52-852D-2FD40DBDDAC1}" cache="Slicer_nama_kabupaten_kota1" caption="nama_kabupaten_kota" startItem="2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2F06-C215-4670-B96F-75B847F238D5}">
  <dimension ref="A1:E12"/>
  <sheetViews>
    <sheetView zoomScale="89" zoomScaleNormal="89" workbookViewId="0">
      <selection activeCell="D12" sqref="D12"/>
    </sheetView>
  </sheetViews>
  <sheetFormatPr defaultRowHeight="14.45"/>
  <cols>
    <col min="1" max="1" width="21.7109375" bestFit="1" customWidth="1"/>
    <col min="2" max="2" width="15.5703125" bestFit="1" customWidth="1"/>
    <col min="3" max="3" width="15.42578125" bestFit="1" customWidth="1"/>
    <col min="4" max="4" width="16.5703125" bestFit="1" customWidth="1"/>
    <col min="5" max="5" width="18" bestFit="1" customWidth="1"/>
  </cols>
  <sheetData>
    <row r="1" spans="1:5">
      <c r="A1" s="1" t="s">
        <v>0</v>
      </c>
      <c r="B1" t="s">
        <v>1</v>
      </c>
    </row>
    <row r="3" spans="1:5">
      <c r="A3" s="1" t="s">
        <v>2</v>
      </c>
      <c r="B3" t="s">
        <v>3</v>
      </c>
      <c r="C3" t="s">
        <v>4</v>
      </c>
      <c r="D3" t="s">
        <v>5</v>
      </c>
      <c r="E3" t="s">
        <v>6</v>
      </c>
    </row>
    <row r="4" spans="1:5">
      <c r="A4" s="2">
        <v>2019</v>
      </c>
      <c r="B4" s="12">
        <v>3799</v>
      </c>
      <c r="C4" s="12">
        <v>3395</v>
      </c>
      <c r="D4" s="12">
        <v>76</v>
      </c>
      <c r="E4" s="12">
        <v>4695</v>
      </c>
    </row>
    <row r="5" spans="1:5">
      <c r="A5" s="2">
        <v>2020</v>
      </c>
      <c r="B5" s="12">
        <v>4695</v>
      </c>
      <c r="C5" s="12">
        <v>4178</v>
      </c>
      <c r="D5" s="12">
        <v>88</v>
      </c>
      <c r="E5" s="12">
        <v>3311</v>
      </c>
    </row>
    <row r="6" spans="1:5">
      <c r="A6" s="2">
        <v>2021</v>
      </c>
      <c r="B6" s="12">
        <v>3410</v>
      </c>
      <c r="C6" s="12">
        <v>2945</v>
      </c>
      <c r="D6" s="12">
        <v>60</v>
      </c>
      <c r="E6" s="12">
        <v>4042</v>
      </c>
    </row>
    <row r="7" spans="1:5">
      <c r="A7" s="2">
        <v>2022</v>
      </c>
      <c r="B7" s="12">
        <v>4020</v>
      </c>
      <c r="C7" s="12">
        <v>3384</v>
      </c>
      <c r="D7" s="12">
        <v>123</v>
      </c>
      <c r="E7" s="12">
        <v>6549</v>
      </c>
    </row>
    <row r="8" spans="1:5">
      <c r="A8" s="2">
        <v>2023</v>
      </c>
      <c r="B8" s="12">
        <v>6636</v>
      </c>
      <c r="C8" s="12">
        <v>5426</v>
      </c>
      <c r="D8" s="12">
        <v>181</v>
      </c>
      <c r="E8" s="12">
        <v>7849</v>
      </c>
    </row>
    <row r="9" spans="1:5">
      <c r="A9" s="2">
        <v>2024</v>
      </c>
      <c r="B9" s="12">
        <v>7258</v>
      </c>
      <c r="C9" s="12">
        <v>5840</v>
      </c>
      <c r="D9" s="12">
        <v>314</v>
      </c>
      <c r="E9" s="12">
        <v>8422</v>
      </c>
    </row>
    <row r="10" spans="1:5">
      <c r="A10" s="2" t="s">
        <v>7</v>
      </c>
      <c r="B10" s="12">
        <v>29818</v>
      </c>
      <c r="C10" s="12">
        <v>25168</v>
      </c>
      <c r="D10" s="12">
        <v>842</v>
      </c>
      <c r="E10" s="12">
        <v>34868</v>
      </c>
    </row>
    <row r="11" spans="1:5">
      <c r="E11" s="11">
        <f>GETPIVOTDATA("Total Pengidap tbc",$A$3)</f>
        <v>34868</v>
      </c>
    </row>
    <row r="12" spans="1:5">
      <c r="D12" s="10">
        <f>GETPIVOTDATA("Jumlah Kematian", $D$10)</f>
        <v>842</v>
      </c>
      <c r="E12" s="10" t="str">
        <f>TEXT(D12/E11,"0,0%")</f>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D964-9968-4313-A0D1-AE2CB9451EA4}">
  <dimension ref="A1:C11"/>
  <sheetViews>
    <sheetView workbookViewId="0">
      <selection activeCell="C11" sqref="C11"/>
    </sheetView>
  </sheetViews>
  <sheetFormatPr defaultRowHeight="14.45"/>
  <cols>
    <col min="1" max="1" width="21.7109375" bestFit="1" customWidth="1"/>
    <col min="2" max="2" width="22.28515625" bestFit="1" customWidth="1"/>
    <col min="3" max="3" width="19.7109375" bestFit="1" customWidth="1"/>
    <col min="4" max="27" width="4.85546875" bestFit="1" customWidth="1"/>
    <col min="28" max="28" width="5.85546875" bestFit="1" customWidth="1"/>
    <col min="29" max="29" width="10.7109375" bestFit="1" customWidth="1"/>
    <col min="30" max="148" width="4.85546875" bestFit="1" customWidth="1"/>
    <col min="149" max="160" width="5.85546875" bestFit="1" customWidth="1"/>
    <col min="161" max="161" width="10.7109375" bestFit="1" customWidth="1"/>
    <col min="162" max="162" width="5.5703125" bestFit="1" customWidth="1"/>
    <col min="163" max="163" width="8.5703125" bestFit="1" customWidth="1"/>
    <col min="164" max="164" width="5.5703125" bestFit="1" customWidth="1"/>
    <col min="165" max="165" width="8.5703125" bestFit="1" customWidth="1"/>
    <col min="166" max="166" width="5.5703125" bestFit="1" customWidth="1"/>
    <col min="167" max="167" width="8.5703125" bestFit="1" customWidth="1"/>
    <col min="168" max="168" width="5.5703125" bestFit="1" customWidth="1"/>
    <col min="169" max="169" width="8.5703125" bestFit="1" customWidth="1"/>
    <col min="170" max="170" width="5.5703125" bestFit="1" customWidth="1"/>
    <col min="171" max="171" width="8.5703125" bestFit="1" customWidth="1"/>
    <col min="172" max="172" width="5.5703125" bestFit="1" customWidth="1"/>
    <col min="173" max="173" width="8.5703125" bestFit="1" customWidth="1"/>
    <col min="174" max="174" width="5.5703125" bestFit="1" customWidth="1"/>
    <col min="175" max="175" width="8.5703125" bestFit="1" customWidth="1"/>
    <col min="176" max="176" width="5.5703125" bestFit="1" customWidth="1"/>
    <col min="177" max="177" width="8.5703125" bestFit="1" customWidth="1"/>
    <col min="178" max="178" width="5.5703125" bestFit="1" customWidth="1"/>
    <col min="179" max="179" width="8.5703125" bestFit="1" customWidth="1"/>
    <col min="180" max="180" width="5.5703125" bestFit="1" customWidth="1"/>
    <col min="181" max="181" width="8.5703125" bestFit="1" customWidth="1"/>
    <col min="182" max="182" width="5.5703125" bestFit="1" customWidth="1"/>
    <col min="183" max="183" width="8.5703125" bestFit="1" customWidth="1"/>
    <col min="184" max="184" width="5.5703125" bestFit="1" customWidth="1"/>
    <col min="185" max="185" width="8.5703125" bestFit="1" customWidth="1"/>
    <col min="186" max="186" width="5.5703125" bestFit="1" customWidth="1"/>
    <col min="187" max="187" width="8.5703125" bestFit="1" customWidth="1"/>
    <col min="188" max="188" width="6.5703125" bestFit="1" customWidth="1"/>
    <col min="189" max="189" width="9.5703125" bestFit="1" customWidth="1"/>
    <col min="190" max="190" width="6.5703125" bestFit="1" customWidth="1"/>
    <col min="191" max="191" width="9.5703125" bestFit="1" customWidth="1"/>
    <col min="192" max="192" width="6.5703125" bestFit="1" customWidth="1"/>
    <col min="193" max="193" width="9.5703125" bestFit="1" customWidth="1"/>
    <col min="194" max="194" width="6.5703125" bestFit="1" customWidth="1"/>
    <col min="195" max="195" width="9.5703125" bestFit="1" customWidth="1"/>
    <col min="196" max="196" width="6.5703125" bestFit="1" customWidth="1"/>
    <col min="197" max="197" width="9.5703125" bestFit="1" customWidth="1"/>
    <col min="198" max="198" width="6.5703125" bestFit="1" customWidth="1"/>
    <col min="199" max="199" width="9.5703125" bestFit="1" customWidth="1"/>
    <col min="200" max="200" width="6.5703125" bestFit="1" customWidth="1"/>
    <col min="201" max="201" width="9.5703125" bestFit="1" customWidth="1"/>
    <col min="202" max="202" width="6.5703125" bestFit="1" customWidth="1"/>
    <col min="203" max="203" width="9.5703125" bestFit="1" customWidth="1"/>
    <col min="204" max="204" width="6.5703125" bestFit="1" customWidth="1"/>
    <col min="205" max="205" width="9.5703125" bestFit="1" customWidth="1"/>
    <col min="206" max="206" width="6.5703125" bestFit="1" customWidth="1"/>
    <col min="207" max="207" width="9.5703125" bestFit="1" customWidth="1"/>
    <col min="208" max="208" width="6.5703125" bestFit="1" customWidth="1"/>
    <col min="209" max="209" width="9.5703125" bestFit="1" customWidth="1"/>
    <col min="210" max="210" width="6.5703125" bestFit="1" customWidth="1"/>
    <col min="211" max="211" width="9.5703125" bestFit="1" customWidth="1"/>
    <col min="212" max="212" width="6.5703125" bestFit="1" customWidth="1"/>
    <col min="213" max="213" width="9.5703125" bestFit="1" customWidth="1"/>
    <col min="214" max="214" width="6.5703125" bestFit="1" customWidth="1"/>
    <col min="215" max="215" width="9.5703125" bestFit="1" customWidth="1"/>
    <col min="216" max="216" width="6.5703125" bestFit="1" customWidth="1"/>
    <col min="217" max="217" width="9.5703125" bestFit="1" customWidth="1"/>
    <col min="218" max="218" width="6.5703125" bestFit="1" customWidth="1"/>
    <col min="219" max="219" width="9.5703125" bestFit="1" customWidth="1"/>
    <col min="220" max="220" width="6.5703125" bestFit="1" customWidth="1"/>
    <col min="221" max="221" width="9.5703125" bestFit="1" customWidth="1"/>
    <col min="222" max="222" width="6.5703125" bestFit="1" customWidth="1"/>
    <col min="223" max="223" width="9.5703125" bestFit="1" customWidth="1"/>
    <col min="224" max="224" width="6.5703125" bestFit="1" customWidth="1"/>
    <col min="225" max="225" width="9.5703125" bestFit="1" customWidth="1"/>
    <col min="226" max="226" width="6.5703125" bestFit="1" customWidth="1"/>
    <col min="227" max="227" width="9.5703125" bestFit="1" customWidth="1"/>
    <col min="228" max="228" width="6.5703125" bestFit="1" customWidth="1"/>
    <col min="229" max="229" width="9.5703125" bestFit="1" customWidth="1"/>
    <col min="230" max="230" width="6.5703125" bestFit="1" customWidth="1"/>
    <col min="231" max="231" width="9.5703125" bestFit="1" customWidth="1"/>
    <col min="232" max="232" width="6.5703125" bestFit="1" customWidth="1"/>
    <col min="233" max="233" width="9.5703125" bestFit="1" customWidth="1"/>
    <col min="234" max="234" width="6.5703125" bestFit="1" customWidth="1"/>
    <col min="235" max="235" width="9.5703125" bestFit="1" customWidth="1"/>
    <col min="236" max="236" width="6.5703125" bestFit="1" customWidth="1"/>
    <col min="237" max="237" width="9.5703125" bestFit="1" customWidth="1"/>
    <col min="238" max="238" width="6.5703125" bestFit="1" customWidth="1"/>
    <col min="239" max="239" width="9.5703125" bestFit="1" customWidth="1"/>
    <col min="240" max="240" width="6.5703125" bestFit="1" customWidth="1"/>
    <col min="241" max="241" width="9.5703125" bestFit="1" customWidth="1"/>
    <col min="242" max="242" width="6.5703125" bestFit="1" customWidth="1"/>
    <col min="243" max="243" width="9.5703125" bestFit="1" customWidth="1"/>
    <col min="244" max="244" width="6.5703125" bestFit="1" customWidth="1"/>
    <col min="245" max="245" width="9.5703125" bestFit="1" customWidth="1"/>
    <col min="246" max="246" width="6.5703125" bestFit="1" customWidth="1"/>
    <col min="247" max="247" width="9.5703125" bestFit="1" customWidth="1"/>
    <col min="248" max="248" width="6.5703125" bestFit="1" customWidth="1"/>
    <col min="249" max="249" width="9.5703125" bestFit="1" customWidth="1"/>
    <col min="250" max="250" width="6.5703125" bestFit="1" customWidth="1"/>
    <col min="251" max="251" width="9.5703125" bestFit="1" customWidth="1"/>
    <col min="252" max="252" width="6.5703125" bestFit="1" customWidth="1"/>
    <col min="253" max="253" width="9.5703125" bestFit="1" customWidth="1"/>
    <col min="254" max="254" width="6.5703125" bestFit="1" customWidth="1"/>
    <col min="255" max="255" width="9.5703125" bestFit="1" customWidth="1"/>
    <col min="256" max="256" width="6.5703125" bestFit="1" customWidth="1"/>
    <col min="257" max="257" width="9.5703125" bestFit="1" customWidth="1"/>
    <col min="258" max="258" width="6.5703125" bestFit="1" customWidth="1"/>
    <col min="259" max="259" width="9.5703125" bestFit="1" customWidth="1"/>
    <col min="260" max="260" width="6.5703125" bestFit="1" customWidth="1"/>
    <col min="261" max="261" width="9.5703125" bestFit="1" customWidth="1"/>
    <col min="262" max="262" width="6.5703125" bestFit="1" customWidth="1"/>
    <col min="263" max="263" width="9.5703125" bestFit="1" customWidth="1"/>
    <col min="264" max="264" width="6.5703125" bestFit="1" customWidth="1"/>
    <col min="265" max="265" width="9.5703125" bestFit="1" customWidth="1"/>
    <col min="266" max="266" width="6.5703125" bestFit="1" customWidth="1"/>
    <col min="267" max="267" width="9.5703125" bestFit="1" customWidth="1"/>
    <col min="268" max="268" width="6.5703125" bestFit="1" customWidth="1"/>
    <col min="269" max="269" width="9.5703125" bestFit="1" customWidth="1"/>
    <col min="270" max="270" width="6.5703125" bestFit="1" customWidth="1"/>
    <col min="271" max="271" width="9.5703125" bestFit="1" customWidth="1"/>
    <col min="272" max="272" width="6.5703125" bestFit="1" customWidth="1"/>
    <col min="273" max="273" width="9.5703125" bestFit="1" customWidth="1"/>
    <col min="274" max="274" width="6.5703125" bestFit="1" customWidth="1"/>
    <col min="275" max="275" width="9.5703125" bestFit="1" customWidth="1"/>
    <col min="276" max="276" width="6.5703125" bestFit="1" customWidth="1"/>
    <col min="277" max="277" width="9.5703125" bestFit="1" customWidth="1"/>
    <col min="278" max="278" width="6.5703125" bestFit="1" customWidth="1"/>
    <col min="279" max="279" width="9.5703125" bestFit="1" customWidth="1"/>
    <col min="280" max="280" width="6.5703125" bestFit="1" customWidth="1"/>
    <col min="281" max="281" width="9.5703125" bestFit="1" customWidth="1"/>
    <col min="282" max="282" width="6.5703125" bestFit="1" customWidth="1"/>
    <col min="283" max="283" width="9.5703125" bestFit="1" customWidth="1"/>
    <col min="284" max="284" width="6.5703125" bestFit="1" customWidth="1"/>
    <col min="285" max="285" width="9.5703125" bestFit="1" customWidth="1"/>
    <col min="286" max="286" width="6.5703125" bestFit="1" customWidth="1"/>
    <col min="287" max="287" width="9.5703125" bestFit="1" customWidth="1"/>
    <col min="288" max="288" width="6.5703125" bestFit="1" customWidth="1"/>
    <col min="289" max="289" width="9.5703125" bestFit="1" customWidth="1"/>
    <col min="290" max="290" width="6.5703125" bestFit="1" customWidth="1"/>
    <col min="291" max="291" width="9.5703125" bestFit="1" customWidth="1"/>
    <col min="292" max="292" width="6.5703125" bestFit="1" customWidth="1"/>
    <col min="293" max="293" width="9.5703125" bestFit="1" customWidth="1"/>
    <col min="294" max="294" width="6.5703125" bestFit="1" customWidth="1"/>
    <col min="295" max="295" width="9.5703125" bestFit="1" customWidth="1"/>
    <col min="296" max="296" width="6.5703125" bestFit="1" customWidth="1"/>
    <col min="297" max="297" width="9.5703125" bestFit="1" customWidth="1"/>
    <col min="298" max="298" width="6.5703125" bestFit="1" customWidth="1"/>
    <col min="299" max="299" width="9.5703125" bestFit="1" customWidth="1"/>
    <col min="300" max="300" width="6.5703125" bestFit="1" customWidth="1"/>
    <col min="301" max="301" width="9.5703125" bestFit="1" customWidth="1"/>
    <col min="302" max="302" width="6.5703125" bestFit="1" customWidth="1"/>
    <col min="303" max="303" width="9.5703125" bestFit="1" customWidth="1"/>
    <col min="304" max="304" width="6.5703125" bestFit="1" customWidth="1"/>
    <col min="305" max="305" width="9.5703125" bestFit="1" customWidth="1"/>
    <col min="306" max="306" width="6.5703125" bestFit="1" customWidth="1"/>
    <col min="307" max="307" width="9.5703125" bestFit="1" customWidth="1"/>
    <col min="308" max="308" width="6.5703125" bestFit="1" customWidth="1"/>
    <col min="309" max="309" width="9.5703125" bestFit="1" customWidth="1"/>
    <col min="310" max="310" width="6.5703125" bestFit="1" customWidth="1"/>
    <col min="311" max="311" width="9.5703125" bestFit="1" customWidth="1"/>
    <col min="312" max="312" width="6.5703125" bestFit="1" customWidth="1"/>
    <col min="313" max="313" width="9.5703125" bestFit="1" customWidth="1"/>
    <col min="314" max="314" width="6.5703125" bestFit="1" customWidth="1"/>
    <col min="315" max="315" width="9.5703125" bestFit="1" customWidth="1"/>
    <col min="316" max="316" width="6.5703125" bestFit="1" customWidth="1"/>
    <col min="317" max="317" width="9.5703125" bestFit="1" customWidth="1"/>
    <col min="318" max="318" width="6.5703125" bestFit="1" customWidth="1"/>
    <col min="319" max="319" width="9.5703125" bestFit="1" customWidth="1"/>
    <col min="320" max="320" width="10.7109375" bestFit="1" customWidth="1"/>
  </cols>
  <sheetData>
    <row r="1" spans="1:3">
      <c r="A1" s="1" t="s">
        <v>0</v>
      </c>
      <c r="B1" t="s">
        <v>1</v>
      </c>
    </row>
    <row r="3" spans="1:3">
      <c r="A3" s="1" t="s">
        <v>2</v>
      </c>
      <c r="B3" t="s">
        <v>8</v>
      </c>
      <c r="C3" t="s">
        <v>9</v>
      </c>
    </row>
    <row r="4" spans="1:3">
      <c r="A4" s="2">
        <v>2019</v>
      </c>
      <c r="B4" s="12">
        <v>4195</v>
      </c>
      <c r="C4" s="12">
        <v>500</v>
      </c>
    </row>
    <row r="5" spans="1:3">
      <c r="A5" s="2">
        <v>2020</v>
      </c>
      <c r="B5" s="12">
        <v>2944</v>
      </c>
      <c r="C5" s="12">
        <v>367</v>
      </c>
    </row>
    <row r="6" spans="1:3">
      <c r="A6" s="2">
        <v>2021</v>
      </c>
      <c r="B6" s="12">
        <v>3644</v>
      </c>
      <c r="C6" s="12">
        <v>398</v>
      </c>
    </row>
    <row r="7" spans="1:3">
      <c r="A7" s="2">
        <v>2022</v>
      </c>
      <c r="B7" s="12">
        <v>5047</v>
      </c>
      <c r="C7" s="12">
        <v>1502</v>
      </c>
    </row>
    <row r="8" spans="1:3">
      <c r="A8" s="2">
        <v>2023</v>
      </c>
      <c r="B8" s="12">
        <v>6255</v>
      </c>
      <c r="C8" s="12">
        <v>1594</v>
      </c>
    </row>
    <row r="9" spans="1:3">
      <c r="A9" s="2">
        <v>2024</v>
      </c>
      <c r="B9" s="12">
        <v>7040</v>
      </c>
      <c r="C9" s="12">
        <v>1382</v>
      </c>
    </row>
    <row r="10" spans="1:3">
      <c r="A10" s="2" t="s">
        <v>7</v>
      </c>
      <c r="B10" s="12">
        <v>29125</v>
      </c>
      <c r="C10" s="12">
        <v>5743</v>
      </c>
    </row>
    <row r="11" spans="1:3">
      <c r="C11"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3"/>
  <sheetViews>
    <sheetView zoomScale="111" workbookViewId="0">
      <selection activeCell="D161" sqref="D161"/>
    </sheetView>
  </sheetViews>
  <sheetFormatPr defaultRowHeight="14.45"/>
  <cols>
    <col min="1" max="1" width="26.28515625" bestFit="1" customWidth="1"/>
    <col min="2" max="2" width="11.5703125" bestFit="1" customWidth="1"/>
    <col min="3" max="3" width="5.85546875" bestFit="1" customWidth="1"/>
    <col min="4" max="4" width="12.5703125" bestFit="1" customWidth="1"/>
    <col min="5" max="6" width="15.5703125" bestFit="1" customWidth="1"/>
    <col min="7" max="7" width="11.7109375" bestFit="1" customWidth="1"/>
    <col min="8" max="8" width="13.5703125" bestFit="1" customWidth="1"/>
    <col min="9" max="9" width="13.5703125" customWidth="1"/>
    <col min="10" max="10" width="26.28515625" bestFit="1" customWidth="1"/>
    <col min="11" max="11" width="17.140625" customWidth="1"/>
    <col min="12" max="12" width="8.42578125" customWidth="1"/>
    <col min="13" max="13" width="20.5703125" bestFit="1" customWidth="1"/>
    <col min="14" max="14" width="11.5703125" bestFit="1" customWidth="1"/>
  </cols>
  <sheetData>
    <row r="1" spans="1:14">
      <c r="A1" s="3" t="s">
        <v>0</v>
      </c>
      <c r="B1" s="3" t="s">
        <v>10</v>
      </c>
      <c r="C1" s="3" t="s">
        <v>11</v>
      </c>
      <c r="D1" s="3" t="s">
        <v>12</v>
      </c>
      <c r="E1" s="3" t="s">
        <v>13</v>
      </c>
      <c r="F1" s="3" t="s">
        <v>14</v>
      </c>
      <c r="G1" s="9" t="s">
        <v>15</v>
      </c>
      <c r="H1" s="4" t="s">
        <v>16</v>
      </c>
      <c r="I1" s="4"/>
      <c r="J1" s="4" t="s">
        <v>0</v>
      </c>
      <c r="K1" s="4" t="s">
        <v>17</v>
      </c>
      <c r="L1">
        <v>0</v>
      </c>
      <c r="M1" s="4"/>
      <c r="N1" s="4"/>
    </row>
    <row r="2" spans="1:14">
      <c r="A2" t="s">
        <v>18</v>
      </c>
      <c r="B2">
        <v>15566</v>
      </c>
      <c r="C2">
        <v>2019</v>
      </c>
      <c r="D2">
        <v>11979</v>
      </c>
      <c r="E2">
        <v>173</v>
      </c>
      <c r="F2">
        <v>2035</v>
      </c>
      <c r="G2">
        <v>13440</v>
      </c>
      <c r="H2">
        <f>B2-F2</f>
        <v>13531</v>
      </c>
      <c r="J2" t="s">
        <v>19</v>
      </c>
      <c r="K2">
        <v>3742</v>
      </c>
    </row>
    <row r="3" spans="1:14">
      <c r="A3" t="s">
        <v>20</v>
      </c>
      <c r="B3">
        <v>6065</v>
      </c>
      <c r="C3">
        <v>2019</v>
      </c>
      <c r="D3">
        <v>3998</v>
      </c>
      <c r="E3">
        <v>13</v>
      </c>
      <c r="F3">
        <v>1015</v>
      </c>
      <c r="G3">
        <v>4174</v>
      </c>
      <c r="H3">
        <f t="shared" ref="H3:H66" si="0">B3-F3</f>
        <v>5050</v>
      </c>
      <c r="J3" t="s">
        <v>21</v>
      </c>
      <c r="K3">
        <v>4865</v>
      </c>
    </row>
    <row r="4" spans="1:14">
      <c r="A4" t="s">
        <v>22</v>
      </c>
      <c r="B4">
        <v>5075</v>
      </c>
      <c r="C4">
        <v>2019</v>
      </c>
      <c r="D4">
        <v>4270</v>
      </c>
      <c r="E4">
        <v>26</v>
      </c>
      <c r="F4">
        <v>1122</v>
      </c>
      <c r="G4">
        <v>4509</v>
      </c>
      <c r="H4">
        <f t="shared" si="0"/>
        <v>3953</v>
      </c>
      <c r="J4" t="s">
        <v>23</v>
      </c>
      <c r="K4">
        <v>13557</v>
      </c>
    </row>
    <row r="5" spans="1:14">
      <c r="A5" t="s">
        <v>24</v>
      </c>
      <c r="B5">
        <v>7571</v>
      </c>
      <c r="C5">
        <v>2019</v>
      </c>
      <c r="D5">
        <v>6052</v>
      </c>
      <c r="E5">
        <v>153</v>
      </c>
      <c r="F5">
        <v>2387</v>
      </c>
      <c r="G5">
        <v>6859</v>
      </c>
      <c r="H5">
        <f t="shared" si="0"/>
        <v>5184</v>
      </c>
      <c r="J5" t="s">
        <v>25</v>
      </c>
      <c r="K5">
        <v>13989</v>
      </c>
    </row>
    <row r="6" spans="1:14">
      <c r="A6" t="s">
        <v>26</v>
      </c>
      <c r="B6">
        <v>3566</v>
      </c>
      <c r="C6">
        <v>2019</v>
      </c>
      <c r="D6">
        <v>2590</v>
      </c>
      <c r="E6">
        <v>44</v>
      </c>
      <c r="F6">
        <v>507</v>
      </c>
      <c r="G6">
        <v>3080</v>
      </c>
      <c r="H6">
        <f t="shared" si="0"/>
        <v>3059</v>
      </c>
      <c r="J6" t="s">
        <v>27</v>
      </c>
      <c r="K6">
        <v>14217</v>
      </c>
    </row>
    <row r="7" spans="1:14">
      <c r="A7" t="s">
        <v>28</v>
      </c>
      <c r="B7">
        <v>2450</v>
      </c>
      <c r="C7">
        <v>2019</v>
      </c>
      <c r="D7">
        <v>1972</v>
      </c>
      <c r="E7">
        <v>78</v>
      </c>
      <c r="F7">
        <v>234</v>
      </c>
      <c r="G7">
        <v>2204</v>
      </c>
      <c r="H7">
        <f t="shared" si="0"/>
        <v>2216</v>
      </c>
      <c r="J7" t="s">
        <v>29</v>
      </c>
      <c r="K7">
        <v>15799</v>
      </c>
    </row>
    <row r="8" spans="1:14">
      <c r="A8" t="s">
        <v>25</v>
      </c>
      <c r="B8">
        <v>1484</v>
      </c>
      <c r="C8">
        <v>2019</v>
      </c>
      <c r="D8">
        <v>1538</v>
      </c>
      <c r="E8">
        <v>33</v>
      </c>
      <c r="F8">
        <v>79</v>
      </c>
      <c r="G8">
        <v>1630</v>
      </c>
      <c r="H8">
        <f t="shared" si="0"/>
        <v>1405</v>
      </c>
      <c r="J8" t="s">
        <v>30</v>
      </c>
      <c r="K8">
        <v>16061</v>
      </c>
    </row>
    <row r="9" spans="1:14">
      <c r="A9" t="s">
        <v>30</v>
      </c>
      <c r="B9">
        <v>2420</v>
      </c>
      <c r="C9">
        <v>2019</v>
      </c>
      <c r="D9">
        <v>2063</v>
      </c>
      <c r="E9">
        <v>59</v>
      </c>
      <c r="F9">
        <v>201</v>
      </c>
      <c r="G9">
        <v>2249</v>
      </c>
      <c r="H9">
        <f t="shared" si="0"/>
        <v>2219</v>
      </c>
      <c r="J9" t="s">
        <v>31</v>
      </c>
      <c r="K9">
        <v>16153</v>
      </c>
    </row>
    <row r="10" spans="1:14">
      <c r="A10" t="s">
        <v>32</v>
      </c>
      <c r="B10">
        <v>5329</v>
      </c>
      <c r="C10">
        <v>2019</v>
      </c>
      <c r="D10">
        <v>4145</v>
      </c>
      <c r="E10">
        <v>104</v>
      </c>
      <c r="F10">
        <v>407</v>
      </c>
      <c r="G10">
        <v>4570</v>
      </c>
      <c r="H10">
        <f t="shared" si="0"/>
        <v>4922</v>
      </c>
      <c r="J10" t="s">
        <v>33</v>
      </c>
      <c r="K10">
        <v>17090</v>
      </c>
    </row>
    <row r="11" spans="1:14">
      <c r="A11" t="s">
        <v>34</v>
      </c>
      <c r="B11">
        <v>2159</v>
      </c>
      <c r="C11">
        <v>2019</v>
      </c>
      <c r="D11">
        <v>1521</v>
      </c>
      <c r="E11">
        <v>18</v>
      </c>
      <c r="F11">
        <v>256</v>
      </c>
      <c r="G11">
        <v>1540</v>
      </c>
      <c r="H11">
        <f t="shared" si="0"/>
        <v>1903</v>
      </c>
      <c r="J11" t="s">
        <v>34</v>
      </c>
      <c r="K11">
        <v>17637</v>
      </c>
    </row>
    <row r="12" spans="1:14">
      <c r="A12" t="s">
        <v>27</v>
      </c>
      <c r="B12">
        <v>2090</v>
      </c>
      <c r="C12">
        <v>2019</v>
      </c>
      <c r="D12">
        <v>1583</v>
      </c>
      <c r="E12">
        <v>57</v>
      </c>
      <c r="F12">
        <v>457</v>
      </c>
      <c r="G12">
        <v>1799</v>
      </c>
      <c r="H12">
        <f t="shared" si="0"/>
        <v>1633</v>
      </c>
      <c r="J12" t="s">
        <v>28</v>
      </c>
      <c r="K12">
        <v>17672</v>
      </c>
    </row>
    <row r="13" spans="1:14">
      <c r="A13" t="s">
        <v>35</v>
      </c>
      <c r="B13">
        <v>2315</v>
      </c>
      <c r="C13">
        <v>2019</v>
      </c>
      <c r="D13">
        <v>1863</v>
      </c>
      <c r="E13">
        <v>72</v>
      </c>
      <c r="F13">
        <v>530</v>
      </c>
      <c r="G13">
        <v>2614</v>
      </c>
      <c r="H13">
        <f t="shared" si="0"/>
        <v>1785</v>
      </c>
      <c r="J13" t="s">
        <v>35</v>
      </c>
      <c r="K13">
        <v>19481</v>
      </c>
    </row>
    <row r="14" spans="1:14">
      <c r="A14" t="s">
        <v>36</v>
      </c>
      <c r="B14">
        <v>3242</v>
      </c>
      <c r="C14">
        <v>2019</v>
      </c>
      <c r="D14">
        <v>2459</v>
      </c>
      <c r="E14">
        <v>58</v>
      </c>
      <c r="F14">
        <v>762</v>
      </c>
      <c r="G14">
        <v>2665</v>
      </c>
      <c r="H14">
        <f t="shared" si="0"/>
        <v>2480</v>
      </c>
      <c r="J14" t="s">
        <v>37</v>
      </c>
      <c r="K14">
        <v>19504</v>
      </c>
    </row>
    <row r="15" spans="1:14">
      <c r="A15" t="s">
        <v>38</v>
      </c>
      <c r="B15">
        <v>2144</v>
      </c>
      <c r="C15">
        <v>2019</v>
      </c>
      <c r="D15">
        <v>1210</v>
      </c>
      <c r="E15">
        <v>15</v>
      </c>
      <c r="F15">
        <v>488</v>
      </c>
      <c r="G15">
        <v>1334</v>
      </c>
      <c r="H15">
        <f t="shared" si="0"/>
        <v>1656</v>
      </c>
      <c r="J15" t="s">
        <v>38</v>
      </c>
      <c r="K15">
        <v>21173</v>
      </c>
    </row>
    <row r="16" spans="1:14">
      <c r="A16" t="s">
        <v>39</v>
      </c>
      <c r="B16">
        <v>4843</v>
      </c>
      <c r="C16">
        <v>2019</v>
      </c>
      <c r="D16">
        <v>2985</v>
      </c>
      <c r="E16">
        <v>55</v>
      </c>
      <c r="F16">
        <v>394</v>
      </c>
      <c r="G16">
        <v>3985</v>
      </c>
      <c r="H16">
        <f t="shared" si="0"/>
        <v>4449</v>
      </c>
      <c r="J16" t="s">
        <v>36</v>
      </c>
      <c r="K16">
        <v>25971</v>
      </c>
    </row>
    <row r="17" spans="1:11">
      <c r="A17" t="s">
        <v>40</v>
      </c>
      <c r="B17">
        <v>4156</v>
      </c>
      <c r="C17">
        <v>2019</v>
      </c>
      <c r="D17">
        <v>3165</v>
      </c>
      <c r="E17">
        <v>21</v>
      </c>
      <c r="F17">
        <v>334</v>
      </c>
      <c r="G17">
        <v>3551</v>
      </c>
      <c r="H17">
        <f t="shared" si="0"/>
        <v>3822</v>
      </c>
      <c r="J17" t="s">
        <v>1</v>
      </c>
      <c r="K17">
        <v>34868</v>
      </c>
    </row>
    <row r="18" spans="1:11">
      <c r="A18" t="s">
        <v>33</v>
      </c>
      <c r="B18">
        <v>2125</v>
      </c>
      <c r="C18">
        <v>2019</v>
      </c>
      <c r="D18">
        <v>1019</v>
      </c>
      <c r="E18">
        <v>34</v>
      </c>
      <c r="F18">
        <v>342</v>
      </c>
      <c r="G18">
        <v>1713</v>
      </c>
      <c r="H18">
        <f t="shared" si="0"/>
        <v>1783</v>
      </c>
      <c r="J18" t="s">
        <v>41</v>
      </c>
      <c r="K18">
        <v>36683</v>
      </c>
    </row>
    <row r="19" spans="1:11">
      <c r="A19" t="s">
        <v>19</v>
      </c>
      <c r="B19">
        <v>318</v>
      </c>
      <c r="C19">
        <v>2019</v>
      </c>
      <c r="D19">
        <v>186</v>
      </c>
      <c r="E19">
        <v>1</v>
      </c>
      <c r="F19">
        <v>16</v>
      </c>
      <c r="G19">
        <v>375</v>
      </c>
      <c r="H19">
        <f t="shared" si="0"/>
        <v>302</v>
      </c>
      <c r="J19" t="s">
        <v>32</v>
      </c>
      <c r="K19">
        <v>36921</v>
      </c>
    </row>
    <row r="20" spans="1:11">
      <c r="A20" t="s">
        <v>41</v>
      </c>
      <c r="B20">
        <v>3835</v>
      </c>
      <c r="C20">
        <v>2019</v>
      </c>
      <c r="D20">
        <v>2908</v>
      </c>
      <c r="E20">
        <v>83</v>
      </c>
      <c r="F20">
        <v>537</v>
      </c>
      <c r="G20">
        <v>3688</v>
      </c>
      <c r="H20">
        <f t="shared" si="0"/>
        <v>3298</v>
      </c>
      <c r="J20" t="s">
        <v>26</v>
      </c>
      <c r="K20">
        <v>38050</v>
      </c>
    </row>
    <row r="21" spans="1:11">
      <c r="A21" t="s">
        <v>23</v>
      </c>
      <c r="B21">
        <v>1820</v>
      </c>
      <c r="C21">
        <v>2019</v>
      </c>
      <c r="D21">
        <v>1470</v>
      </c>
      <c r="E21">
        <v>22</v>
      </c>
      <c r="F21">
        <v>313</v>
      </c>
      <c r="G21">
        <v>1550</v>
      </c>
      <c r="H21">
        <f t="shared" si="0"/>
        <v>1507</v>
      </c>
      <c r="J21" t="s">
        <v>22</v>
      </c>
      <c r="K21">
        <v>42499</v>
      </c>
    </row>
    <row r="22" spans="1:11">
      <c r="A22" t="s">
        <v>42</v>
      </c>
      <c r="B22">
        <v>11959</v>
      </c>
      <c r="C22">
        <v>2019</v>
      </c>
      <c r="D22">
        <v>8081</v>
      </c>
      <c r="E22">
        <v>187</v>
      </c>
      <c r="F22">
        <v>3530</v>
      </c>
      <c r="G22">
        <v>10086</v>
      </c>
      <c r="H22">
        <f t="shared" si="0"/>
        <v>8429</v>
      </c>
      <c r="J22" t="s">
        <v>20</v>
      </c>
      <c r="K22">
        <v>45168</v>
      </c>
    </row>
    <row r="23" spans="1:11">
      <c r="A23" t="s">
        <v>29</v>
      </c>
      <c r="B23">
        <v>1678</v>
      </c>
      <c r="C23">
        <v>2019</v>
      </c>
      <c r="D23">
        <v>1069</v>
      </c>
      <c r="E23">
        <v>11</v>
      </c>
      <c r="F23">
        <v>195</v>
      </c>
      <c r="G23">
        <v>1355</v>
      </c>
      <c r="H23">
        <f t="shared" si="0"/>
        <v>1483</v>
      </c>
      <c r="J23" t="s">
        <v>39</v>
      </c>
      <c r="K23">
        <v>47729</v>
      </c>
    </row>
    <row r="24" spans="1:11">
      <c r="A24" t="s">
        <v>43</v>
      </c>
      <c r="B24">
        <v>7717</v>
      </c>
      <c r="C24">
        <v>2019</v>
      </c>
      <c r="D24">
        <v>4272</v>
      </c>
      <c r="E24">
        <v>64</v>
      </c>
      <c r="F24">
        <v>968</v>
      </c>
      <c r="G24">
        <v>5989</v>
      </c>
      <c r="H24">
        <f t="shared" si="0"/>
        <v>6749</v>
      </c>
      <c r="J24" t="s">
        <v>40</v>
      </c>
      <c r="K24">
        <v>50910</v>
      </c>
    </row>
    <row r="25" spans="1:11">
      <c r="A25" t="s">
        <v>1</v>
      </c>
      <c r="B25">
        <v>4695</v>
      </c>
      <c r="C25">
        <v>2019</v>
      </c>
      <c r="D25">
        <v>3395</v>
      </c>
      <c r="E25">
        <v>76</v>
      </c>
      <c r="F25">
        <v>500</v>
      </c>
      <c r="G25">
        <v>3799</v>
      </c>
      <c r="H25">
        <f t="shared" si="0"/>
        <v>4195</v>
      </c>
      <c r="J25" t="s">
        <v>24</v>
      </c>
      <c r="K25">
        <v>56754</v>
      </c>
    </row>
    <row r="26" spans="1:11">
      <c r="A26" t="s">
        <v>37</v>
      </c>
      <c r="B26">
        <v>2567</v>
      </c>
      <c r="C26">
        <v>2019</v>
      </c>
      <c r="D26">
        <v>2265</v>
      </c>
      <c r="E26">
        <v>11</v>
      </c>
      <c r="F26">
        <v>860</v>
      </c>
      <c r="G26">
        <v>2367</v>
      </c>
      <c r="H26">
        <f t="shared" si="0"/>
        <v>1707</v>
      </c>
      <c r="J26" t="s">
        <v>43</v>
      </c>
      <c r="K26">
        <v>57657</v>
      </c>
    </row>
    <row r="27" spans="1:11">
      <c r="A27" t="s">
        <v>31</v>
      </c>
      <c r="B27">
        <v>1434</v>
      </c>
      <c r="C27">
        <v>2019</v>
      </c>
      <c r="D27">
        <v>1219</v>
      </c>
      <c r="E27">
        <v>41</v>
      </c>
      <c r="F27">
        <v>113</v>
      </c>
      <c r="G27">
        <v>1358</v>
      </c>
      <c r="H27">
        <f t="shared" si="0"/>
        <v>1321</v>
      </c>
      <c r="J27" t="s">
        <v>42</v>
      </c>
      <c r="K27">
        <v>80635</v>
      </c>
    </row>
    <row r="28" spans="1:11">
      <c r="A28" t="s">
        <v>21</v>
      </c>
      <c r="B28">
        <v>840</v>
      </c>
      <c r="C28">
        <v>2019</v>
      </c>
      <c r="D28">
        <v>666</v>
      </c>
      <c r="E28">
        <v>3</v>
      </c>
      <c r="F28">
        <v>43</v>
      </c>
      <c r="G28">
        <v>674</v>
      </c>
      <c r="H28">
        <f t="shared" si="0"/>
        <v>797</v>
      </c>
      <c r="J28" t="s">
        <v>18</v>
      </c>
      <c r="K28">
        <v>116076</v>
      </c>
    </row>
    <row r="29" spans="1:11">
      <c r="A29" t="s">
        <v>18</v>
      </c>
      <c r="B29">
        <v>10248</v>
      </c>
      <c r="C29">
        <v>2020</v>
      </c>
      <c r="D29">
        <v>13372</v>
      </c>
      <c r="E29">
        <v>173</v>
      </c>
      <c r="F29">
        <v>897</v>
      </c>
      <c r="G29">
        <v>16332</v>
      </c>
      <c r="H29">
        <f t="shared" si="0"/>
        <v>9351</v>
      </c>
    </row>
    <row r="30" spans="1:11">
      <c r="A30" t="s">
        <v>20</v>
      </c>
      <c r="B30">
        <v>3446</v>
      </c>
      <c r="C30">
        <v>2020</v>
      </c>
      <c r="D30">
        <v>3666</v>
      </c>
      <c r="E30">
        <v>5</v>
      </c>
      <c r="F30">
        <v>374</v>
      </c>
      <c r="G30">
        <v>5828</v>
      </c>
      <c r="H30">
        <f t="shared" si="0"/>
        <v>3072</v>
      </c>
    </row>
    <row r="31" spans="1:11">
      <c r="A31" t="s">
        <v>22</v>
      </c>
      <c r="B31">
        <v>4168</v>
      </c>
      <c r="C31">
        <v>2020</v>
      </c>
      <c r="D31">
        <v>4378</v>
      </c>
      <c r="E31">
        <v>20</v>
      </c>
      <c r="F31">
        <v>817</v>
      </c>
      <c r="G31">
        <v>5068</v>
      </c>
      <c r="H31">
        <f t="shared" si="0"/>
        <v>3351</v>
      </c>
    </row>
    <row r="32" spans="1:11">
      <c r="A32" t="s">
        <v>24</v>
      </c>
      <c r="B32">
        <v>6116</v>
      </c>
      <c r="C32">
        <v>2020</v>
      </c>
      <c r="D32">
        <v>6738</v>
      </c>
      <c r="E32">
        <v>148</v>
      </c>
      <c r="F32">
        <v>1611</v>
      </c>
      <c r="G32">
        <v>7595</v>
      </c>
      <c r="H32">
        <f t="shared" si="0"/>
        <v>4505</v>
      </c>
    </row>
    <row r="33" spans="1:8">
      <c r="A33" t="s">
        <v>26</v>
      </c>
      <c r="B33">
        <v>3647</v>
      </c>
      <c r="C33">
        <v>2020</v>
      </c>
      <c r="D33">
        <v>3301</v>
      </c>
      <c r="E33">
        <v>62</v>
      </c>
      <c r="F33">
        <v>534</v>
      </c>
      <c r="G33">
        <v>3516</v>
      </c>
      <c r="H33">
        <f t="shared" si="0"/>
        <v>3113</v>
      </c>
    </row>
    <row r="34" spans="1:8">
      <c r="A34" t="s">
        <v>28</v>
      </c>
      <c r="B34">
        <v>1708</v>
      </c>
      <c r="C34">
        <v>2020</v>
      </c>
      <c r="D34">
        <v>2306</v>
      </c>
      <c r="E34">
        <v>98</v>
      </c>
      <c r="F34">
        <v>88</v>
      </c>
      <c r="G34">
        <v>2620</v>
      </c>
      <c r="H34">
        <f t="shared" si="0"/>
        <v>1620</v>
      </c>
    </row>
    <row r="35" spans="1:8">
      <c r="A35" t="s">
        <v>25</v>
      </c>
      <c r="B35">
        <v>1434</v>
      </c>
      <c r="C35">
        <v>2020</v>
      </c>
      <c r="D35">
        <v>1385</v>
      </c>
      <c r="E35">
        <v>29</v>
      </c>
      <c r="F35">
        <v>217</v>
      </c>
      <c r="G35">
        <v>1521</v>
      </c>
      <c r="H35">
        <f t="shared" si="0"/>
        <v>1217</v>
      </c>
    </row>
    <row r="36" spans="1:8">
      <c r="A36" t="s">
        <v>30</v>
      </c>
      <c r="B36">
        <v>1799</v>
      </c>
      <c r="C36">
        <v>2020</v>
      </c>
      <c r="D36">
        <v>2240</v>
      </c>
      <c r="E36">
        <v>79</v>
      </c>
      <c r="F36">
        <v>144</v>
      </c>
      <c r="G36">
        <v>2418</v>
      </c>
      <c r="H36">
        <f t="shared" si="0"/>
        <v>1655</v>
      </c>
    </row>
    <row r="37" spans="1:8">
      <c r="A37" t="s">
        <v>32</v>
      </c>
      <c r="B37">
        <v>3403</v>
      </c>
      <c r="C37">
        <v>2020</v>
      </c>
      <c r="D37">
        <v>4989</v>
      </c>
      <c r="E37">
        <v>109</v>
      </c>
      <c r="F37">
        <v>229</v>
      </c>
      <c r="G37">
        <v>5395</v>
      </c>
      <c r="H37">
        <f t="shared" si="0"/>
        <v>3174</v>
      </c>
    </row>
    <row r="38" spans="1:8">
      <c r="A38" t="s">
        <v>34</v>
      </c>
      <c r="B38">
        <v>1758</v>
      </c>
      <c r="C38">
        <v>2020</v>
      </c>
      <c r="D38">
        <v>2135</v>
      </c>
      <c r="E38">
        <v>24</v>
      </c>
      <c r="F38">
        <v>224</v>
      </c>
      <c r="G38">
        <v>2159</v>
      </c>
      <c r="H38">
        <f t="shared" si="0"/>
        <v>1534</v>
      </c>
    </row>
    <row r="39" spans="1:8">
      <c r="A39" t="s">
        <v>27</v>
      </c>
      <c r="B39">
        <v>1304</v>
      </c>
      <c r="C39">
        <v>2020</v>
      </c>
      <c r="D39">
        <v>1724</v>
      </c>
      <c r="E39">
        <v>73</v>
      </c>
      <c r="F39">
        <v>168</v>
      </c>
      <c r="G39">
        <v>2164</v>
      </c>
      <c r="H39">
        <f t="shared" si="0"/>
        <v>1136</v>
      </c>
    </row>
    <row r="40" spans="1:8">
      <c r="A40" t="s">
        <v>35</v>
      </c>
      <c r="B40">
        <v>1496</v>
      </c>
      <c r="C40">
        <v>2020</v>
      </c>
      <c r="D40">
        <v>2401</v>
      </c>
      <c r="E40">
        <v>77</v>
      </c>
      <c r="F40">
        <v>229</v>
      </c>
      <c r="G40">
        <v>2689</v>
      </c>
      <c r="H40">
        <f t="shared" si="0"/>
        <v>1267</v>
      </c>
    </row>
    <row r="41" spans="1:8">
      <c r="A41" t="s">
        <v>36</v>
      </c>
      <c r="B41">
        <v>3061</v>
      </c>
      <c r="C41">
        <v>2020</v>
      </c>
      <c r="D41">
        <v>2979</v>
      </c>
      <c r="E41">
        <v>90</v>
      </c>
      <c r="F41">
        <v>654</v>
      </c>
      <c r="G41">
        <v>3242</v>
      </c>
      <c r="H41">
        <f t="shared" si="0"/>
        <v>2407</v>
      </c>
    </row>
    <row r="42" spans="1:8">
      <c r="A42" t="s">
        <v>38</v>
      </c>
      <c r="B42">
        <v>1736</v>
      </c>
      <c r="C42">
        <v>2020</v>
      </c>
      <c r="D42">
        <v>1958</v>
      </c>
      <c r="E42">
        <v>25</v>
      </c>
      <c r="F42">
        <v>368</v>
      </c>
      <c r="G42">
        <v>2149</v>
      </c>
      <c r="H42">
        <f t="shared" si="0"/>
        <v>1368</v>
      </c>
    </row>
    <row r="43" spans="1:8">
      <c r="A43" t="s">
        <v>39</v>
      </c>
      <c r="B43">
        <v>3996</v>
      </c>
      <c r="C43">
        <v>2020</v>
      </c>
      <c r="D43">
        <v>3925</v>
      </c>
      <c r="E43">
        <v>76</v>
      </c>
      <c r="F43">
        <v>288</v>
      </c>
      <c r="G43">
        <v>5280</v>
      </c>
      <c r="H43">
        <f t="shared" si="0"/>
        <v>3708</v>
      </c>
    </row>
    <row r="44" spans="1:8">
      <c r="A44" t="s">
        <v>40</v>
      </c>
      <c r="B44">
        <v>4604</v>
      </c>
      <c r="C44">
        <v>2020</v>
      </c>
      <c r="D44">
        <v>3830</v>
      </c>
      <c r="E44">
        <v>42</v>
      </c>
      <c r="F44">
        <v>481</v>
      </c>
      <c r="G44">
        <v>4582</v>
      </c>
      <c r="H44">
        <f t="shared" si="0"/>
        <v>4123</v>
      </c>
    </row>
    <row r="45" spans="1:8">
      <c r="A45" t="s">
        <v>33</v>
      </c>
      <c r="B45">
        <v>1439</v>
      </c>
      <c r="C45">
        <v>2020</v>
      </c>
      <c r="D45">
        <v>1839</v>
      </c>
      <c r="E45">
        <v>51</v>
      </c>
      <c r="F45">
        <v>198</v>
      </c>
      <c r="G45">
        <v>2102</v>
      </c>
      <c r="H45">
        <f t="shared" si="0"/>
        <v>1241</v>
      </c>
    </row>
    <row r="46" spans="1:8">
      <c r="A46" t="s">
        <v>19</v>
      </c>
      <c r="B46">
        <v>358</v>
      </c>
      <c r="C46">
        <v>2020</v>
      </c>
      <c r="D46">
        <v>310</v>
      </c>
      <c r="E46">
        <v>4</v>
      </c>
      <c r="F46">
        <v>49</v>
      </c>
      <c r="G46">
        <v>333</v>
      </c>
      <c r="H46">
        <f t="shared" si="0"/>
        <v>309</v>
      </c>
    </row>
    <row r="47" spans="1:8">
      <c r="A47" t="s">
        <v>41</v>
      </c>
      <c r="B47">
        <v>1896</v>
      </c>
      <c r="C47">
        <v>2020</v>
      </c>
      <c r="D47">
        <v>3220</v>
      </c>
      <c r="E47">
        <v>35</v>
      </c>
      <c r="F47">
        <v>171</v>
      </c>
      <c r="G47">
        <v>3833</v>
      </c>
      <c r="H47">
        <f t="shared" si="0"/>
        <v>1725</v>
      </c>
    </row>
    <row r="48" spans="1:8">
      <c r="A48" t="s">
        <v>23</v>
      </c>
      <c r="B48">
        <v>1223</v>
      </c>
      <c r="C48">
        <v>2020</v>
      </c>
      <c r="D48">
        <v>1721</v>
      </c>
      <c r="E48">
        <v>13</v>
      </c>
      <c r="F48">
        <v>200</v>
      </c>
      <c r="G48">
        <v>1820</v>
      </c>
      <c r="H48">
        <f t="shared" si="0"/>
        <v>1023</v>
      </c>
    </row>
    <row r="49" spans="1:8">
      <c r="A49" t="s">
        <v>42</v>
      </c>
      <c r="B49">
        <v>8262</v>
      </c>
      <c r="C49">
        <v>2020</v>
      </c>
      <c r="D49">
        <v>10018</v>
      </c>
      <c r="E49">
        <v>206</v>
      </c>
      <c r="F49">
        <v>1899</v>
      </c>
      <c r="G49">
        <v>11952</v>
      </c>
      <c r="H49">
        <f t="shared" si="0"/>
        <v>6363</v>
      </c>
    </row>
    <row r="50" spans="1:8">
      <c r="A50" t="s">
        <v>29</v>
      </c>
      <c r="B50">
        <v>1202</v>
      </c>
      <c r="C50">
        <v>2020</v>
      </c>
      <c r="D50">
        <v>1579</v>
      </c>
      <c r="E50">
        <v>18</v>
      </c>
      <c r="F50">
        <v>163</v>
      </c>
      <c r="G50">
        <v>1727</v>
      </c>
      <c r="H50">
        <f t="shared" si="0"/>
        <v>1039</v>
      </c>
    </row>
    <row r="51" spans="1:8">
      <c r="A51" t="s">
        <v>43</v>
      </c>
      <c r="B51">
        <v>5223</v>
      </c>
      <c r="C51">
        <v>2020</v>
      </c>
      <c r="D51">
        <v>5865</v>
      </c>
      <c r="E51">
        <v>71</v>
      </c>
      <c r="F51">
        <v>643</v>
      </c>
      <c r="G51">
        <v>7818</v>
      </c>
      <c r="H51">
        <f t="shared" si="0"/>
        <v>4580</v>
      </c>
    </row>
    <row r="52" spans="1:8">
      <c r="A52" t="s">
        <v>1</v>
      </c>
      <c r="B52">
        <v>3311</v>
      </c>
      <c r="C52">
        <v>2020</v>
      </c>
      <c r="D52">
        <v>4178</v>
      </c>
      <c r="E52">
        <v>88</v>
      </c>
      <c r="F52">
        <v>367</v>
      </c>
      <c r="G52">
        <v>4695</v>
      </c>
      <c r="H52">
        <f t="shared" si="0"/>
        <v>2944</v>
      </c>
    </row>
    <row r="53" spans="1:8">
      <c r="A53" t="s">
        <v>37</v>
      </c>
      <c r="B53">
        <v>1719</v>
      </c>
      <c r="C53">
        <v>2020</v>
      </c>
      <c r="D53">
        <v>2251</v>
      </c>
      <c r="E53">
        <v>7</v>
      </c>
      <c r="F53">
        <v>358</v>
      </c>
      <c r="G53">
        <v>2590</v>
      </c>
      <c r="H53">
        <f t="shared" si="0"/>
        <v>1361</v>
      </c>
    </row>
    <row r="54" spans="1:8">
      <c r="A54" t="s">
        <v>31</v>
      </c>
      <c r="B54">
        <v>963</v>
      </c>
      <c r="C54">
        <v>2020</v>
      </c>
      <c r="D54">
        <v>1302</v>
      </c>
      <c r="E54">
        <v>40</v>
      </c>
      <c r="F54">
        <v>78</v>
      </c>
      <c r="G54">
        <v>1462</v>
      </c>
      <c r="H54">
        <f t="shared" si="0"/>
        <v>885</v>
      </c>
    </row>
    <row r="55" spans="1:8">
      <c r="A55" t="s">
        <v>21</v>
      </c>
      <c r="B55">
        <v>320</v>
      </c>
      <c r="C55">
        <v>2020</v>
      </c>
      <c r="D55">
        <v>830</v>
      </c>
      <c r="E55">
        <v>6</v>
      </c>
      <c r="F55">
        <v>16</v>
      </c>
      <c r="G55">
        <v>840</v>
      </c>
      <c r="H55">
        <f t="shared" si="0"/>
        <v>304</v>
      </c>
    </row>
    <row r="56" spans="1:8">
      <c r="A56" t="s">
        <v>18</v>
      </c>
      <c r="B56">
        <v>11946</v>
      </c>
      <c r="C56">
        <v>2021</v>
      </c>
      <c r="D56">
        <v>9624</v>
      </c>
      <c r="E56">
        <v>218</v>
      </c>
      <c r="F56">
        <v>1174</v>
      </c>
      <c r="G56">
        <v>11165</v>
      </c>
      <c r="H56">
        <f t="shared" si="0"/>
        <v>10772</v>
      </c>
    </row>
    <row r="57" spans="1:8">
      <c r="A57" t="s">
        <v>20</v>
      </c>
      <c r="B57">
        <v>4805</v>
      </c>
      <c r="C57">
        <v>2021</v>
      </c>
      <c r="D57">
        <v>3125</v>
      </c>
      <c r="E57">
        <v>17</v>
      </c>
      <c r="F57">
        <v>619</v>
      </c>
      <c r="G57">
        <v>3993</v>
      </c>
      <c r="H57">
        <f t="shared" si="0"/>
        <v>4186</v>
      </c>
    </row>
    <row r="58" spans="1:8">
      <c r="A58" t="s">
        <v>22</v>
      </c>
      <c r="B58">
        <v>4673</v>
      </c>
      <c r="C58">
        <v>2021</v>
      </c>
      <c r="D58">
        <v>4093</v>
      </c>
      <c r="E58">
        <v>84</v>
      </c>
      <c r="F58">
        <v>1108</v>
      </c>
      <c r="G58">
        <v>4349</v>
      </c>
      <c r="H58">
        <f t="shared" si="0"/>
        <v>3565</v>
      </c>
    </row>
    <row r="59" spans="1:8">
      <c r="A59" t="s">
        <v>24</v>
      </c>
      <c r="B59">
        <v>5708</v>
      </c>
      <c r="C59">
        <v>2021</v>
      </c>
      <c r="D59">
        <v>5137</v>
      </c>
      <c r="E59">
        <v>188</v>
      </c>
      <c r="F59">
        <v>1255</v>
      </c>
      <c r="G59">
        <v>6309</v>
      </c>
      <c r="H59">
        <f t="shared" si="0"/>
        <v>4453</v>
      </c>
    </row>
    <row r="60" spans="1:8">
      <c r="A60" t="s">
        <v>26</v>
      </c>
      <c r="B60">
        <v>4786</v>
      </c>
      <c r="C60">
        <v>2021</v>
      </c>
      <c r="D60">
        <v>3854</v>
      </c>
      <c r="E60">
        <v>93</v>
      </c>
      <c r="F60">
        <v>885</v>
      </c>
      <c r="G60">
        <v>4421</v>
      </c>
      <c r="H60">
        <f t="shared" si="0"/>
        <v>3901</v>
      </c>
    </row>
    <row r="61" spans="1:8">
      <c r="A61" t="s">
        <v>28</v>
      </c>
      <c r="B61">
        <v>1995</v>
      </c>
      <c r="C61">
        <v>2021</v>
      </c>
      <c r="D61">
        <v>1465</v>
      </c>
      <c r="E61">
        <v>85</v>
      </c>
      <c r="F61">
        <v>161</v>
      </c>
      <c r="G61">
        <v>1838</v>
      </c>
      <c r="H61">
        <f t="shared" si="0"/>
        <v>1834</v>
      </c>
    </row>
    <row r="62" spans="1:8">
      <c r="A62" t="s">
        <v>25</v>
      </c>
      <c r="B62">
        <v>1606</v>
      </c>
      <c r="C62">
        <v>2021</v>
      </c>
      <c r="D62">
        <v>1379</v>
      </c>
      <c r="E62">
        <v>43</v>
      </c>
      <c r="F62">
        <v>230</v>
      </c>
      <c r="G62">
        <v>1517</v>
      </c>
      <c r="H62">
        <f t="shared" si="0"/>
        <v>1376</v>
      </c>
    </row>
    <row r="63" spans="1:8">
      <c r="A63" t="s">
        <v>30</v>
      </c>
      <c r="B63">
        <v>1651</v>
      </c>
      <c r="C63">
        <v>2021</v>
      </c>
      <c r="D63">
        <v>1745</v>
      </c>
      <c r="E63">
        <v>64</v>
      </c>
      <c r="F63">
        <v>91</v>
      </c>
      <c r="G63">
        <v>1865</v>
      </c>
      <c r="H63">
        <f t="shared" si="0"/>
        <v>1560</v>
      </c>
    </row>
    <row r="64" spans="1:8">
      <c r="A64" t="s">
        <v>32</v>
      </c>
      <c r="B64">
        <v>3383</v>
      </c>
      <c r="C64">
        <v>2021</v>
      </c>
      <c r="D64">
        <v>3017</v>
      </c>
      <c r="E64">
        <v>108</v>
      </c>
      <c r="F64">
        <v>280</v>
      </c>
      <c r="G64">
        <v>3486</v>
      </c>
      <c r="H64">
        <f t="shared" si="0"/>
        <v>3103</v>
      </c>
    </row>
    <row r="65" spans="1:8">
      <c r="A65" t="s">
        <v>34</v>
      </c>
      <c r="B65">
        <v>1723</v>
      </c>
      <c r="C65">
        <v>2021</v>
      </c>
      <c r="D65">
        <v>1826</v>
      </c>
      <c r="E65">
        <v>33</v>
      </c>
      <c r="F65">
        <v>182</v>
      </c>
      <c r="G65">
        <v>1862</v>
      </c>
      <c r="H65">
        <f t="shared" si="0"/>
        <v>1541</v>
      </c>
    </row>
    <row r="66" spans="1:8">
      <c r="A66" t="s">
        <v>27</v>
      </c>
      <c r="B66">
        <v>1372</v>
      </c>
      <c r="C66">
        <v>2021</v>
      </c>
      <c r="D66">
        <v>975</v>
      </c>
      <c r="E66">
        <v>56</v>
      </c>
      <c r="F66">
        <v>184</v>
      </c>
      <c r="G66">
        <v>1393</v>
      </c>
      <c r="H66">
        <f t="shared" si="0"/>
        <v>1188</v>
      </c>
    </row>
    <row r="67" spans="1:8">
      <c r="A67" t="s">
        <v>35</v>
      </c>
      <c r="B67">
        <v>1701</v>
      </c>
      <c r="C67">
        <v>2021</v>
      </c>
      <c r="D67">
        <v>1126</v>
      </c>
      <c r="E67">
        <v>34</v>
      </c>
      <c r="F67">
        <v>383</v>
      </c>
      <c r="G67">
        <v>1583</v>
      </c>
      <c r="H67">
        <f t="shared" ref="H67:H130" si="1">B67-F67</f>
        <v>1318</v>
      </c>
    </row>
    <row r="68" spans="1:8">
      <c r="A68" t="s">
        <v>36</v>
      </c>
      <c r="B68">
        <v>2912</v>
      </c>
      <c r="C68">
        <v>2021</v>
      </c>
      <c r="D68">
        <v>2906</v>
      </c>
      <c r="E68">
        <v>76</v>
      </c>
      <c r="F68">
        <v>728</v>
      </c>
      <c r="G68">
        <v>3118</v>
      </c>
      <c r="H68">
        <f t="shared" si="1"/>
        <v>2184</v>
      </c>
    </row>
    <row r="69" spans="1:8">
      <c r="A69" t="s">
        <v>38</v>
      </c>
      <c r="B69">
        <v>2410</v>
      </c>
      <c r="C69">
        <v>2021</v>
      </c>
      <c r="D69">
        <v>1642</v>
      </c>
      <c r="E69">
        <v>33</v>
      </c>
      <c r="F69">
        <v>562</v>
      </c>
      <c r="G69">
        <v>1754</v>
      </c>
      <c r="H69">
        <f t="shared" si="1"/>
        <v>1848</v>
      </c>
    </row>
    <row r="70" spans="1:8">
      <c r="A70" t="s">
        <v>39</v>
      </c>
      <c r="B70">
        <v>4528</v>
      </c>
      <c r="C70">
        <v>2021</v>
      </c>
      <c r="D70">
        <v>3460</v>
      </c>
      <c r="E70">
        <v>129</v>
      </c>
      <c r="F70">
        <v>489</v>
      </c>
      <c r="G70">
        <v>4398</v>
      </c>
      <c r="H70">
        <f t="shared" si="1"/>
        <v>4039</v>
      </c>
    </row>
    <row r="71" spans="1:8">
      <c r="A71" t="s">
        <v>40</v>
      </c>
      <c r="B71">
        <v>4798</v>
      </c>
      <c r="C71">
        <v>2021</v>
      </c>
      <c r="D71">
        <v>3184</v>
      </c>
      <c r="E71">
        <v>47</v>
      </c>
      <c r="F71">
        <v>449</v>
      </c>
      <c r="G71">
        <v>4753</v>
      </c>
      <c r="H71">
        <f t="shared" si="1"/>
        <v>4349</v>
      </c>
    </row>
    <row r="72" spans="1:8">
      <c r="A72" t="s">
        <v>33</v>
      </c>
      <c r="B72">
        <v>1736</v>
      </c>
      <c r="C72">
        <v>2021</v>
      </c>
      <c r="D72">
        <v>1262</v>
      </c>
      <c r="E72">
        <v>42</v>
      </c>
      <c r="F72">
        <v>182</v>
      </c>
      <c r="G72">
        <v>1508</v>
      </c>
      <c r="H72">
        <f t="shared" si="1"/>
        <v>1554</v>
      </c>
    </row>
    <row r="73" spans="1:8">
      <c r="A73" t="s">
        <v>19</v>
      </c>
      <c r="B73">
        <v>410</v>
      </c>
      <c r="C73">
        <v>2021</v>
      </c>
      <c r="D73">
        <v>372</v>
      </c>
      <c r="E73">
        <v>17</v>
      </c>
      <c r="F73">
        <v>75</v>
      </c>
      <c r="G73">
        <v>452</v>
      </c>
      <c r="H73">
        <f t="shared" si="1"/>
        <v>335</v>
      </c>
    </row>
    <row r="74" spans="1:8">
      <c r="A74" t="s">
        <v>41</v>
      </c>
      <c r="B74">
        <v>1440</v>
      </c>
      <c r="C74">
        <v>2021</v>
      </c>
      <c r="D74">
        <v>2000</v>
      </c>
      <c r="E74">
        <v>38</v>
      </c>
      <c r="F74">
        <v>461</v>
      </c>
      <c r="G74">
        <v>2583</v>
      </c>
      <c r="H74">
        <f t="shared" si="1"/>
        <v>979</v>
      </c>
    </row>
    <row r="75" spans="1:8">
      <c r="A75" t="s">
        <v>23</v>
      </c>
      <c r="B75">
        <v>1223</v>
      </c>
      <c r="C75">
        <v>2021</v>
      </c>
      <c r="D75">
        <v>1080</v>
      </c>
      <c r="E75">
        <v>28</v>
      </c>
      <c r="F75">
        <v>200</v>
      </c>
      <c r="G75">
        <v>1257</v>
      </c>
      <c r="H75">
        <f t="shared" si="1"/>
        <v>1023</v>
      </c>
    </row>
    <row r="76" spans="1:8">
      <c r="A76" t="s">
        <v>42</v>
      </c>
      <c r="B76">
        <v>8919</v>
      </c>
      <c r="C76">
        <v>2021</v>
      </c>
      <c r="D76">
        <v>7295</v>
      </c>
      <c r="E76">
        <v>276</v>
      </c>
      <c r="F76">
        <v>2260</v>
      </c>
      <c r="G76">
        <v>8818</v>
      </c>
      <c r="H76">
        <f t="shared" si="1"/>
        <v>6659</v>
      </c>
    </row>
    <row r="77" spans="1:8">
      <c r="A77" t="s">
        <v>29</v>
      </c>
      <c r="B77">
        <v>1910</v>
      </c>
      <c r="C77">
        <v>2021</v>
      </c>
      <c r="D77">
        <v>1122</v>
      </c>
      <c r="E77">
        <v>23</v>
      </c>
      <c r="F77">
        <v>402</v>
      </c>
      <c r="G77">
        <v>1221</v>
      </c>
      <c r="H77">
        <f t="shared" si="1"/>
        <v>1508</v>
      </c>
    </row>
    <row r="78" spans="1:8">
      <c r="A78" t="s">
        <v>43</v>
      </c>
      <c r="B78">
        <v>6051</v>
      </c>
      <c r="C78">
        <v>2021</v>
      </c>
      <c r="D78">
        <v>3392</v>
      </c>
      <c r="E78">
        <v>92</v>
      </c>
      <c r="F78">
        <v>550</v>
      </c>
      <c r="G78">
        <v>5459</v>
      </c>
      <c r="H78">
        <f t="shared" si="1"/>
        <v>5501</v>
      </c>
    </row>
    <row r="79" spans="1:8">
      <c r="A79" t="s">
        <v>1</v>
      </c>
      <c r="B79">
        <v>4042</v>
      </c>
      <c r="C79">
        <v>2021</v>
      </c>
      <c r="D79">
        <v>2945</v>
      </c>
      <c r="E79">
        <v>60</v>
      </c>
      <c r="F79">
        <v>398</v>
      </c>
      <c r="G79">
        <v>3410</v>
      </c>
      <c r="H79">
        <f t="shared" si="1"/>
        <v>3644</v>
      </c>
    </row>
    <row r="80" spans="1:8">
      <c r="A80" t="s">
        <v>37</v>
      </c>
      <c r="B80">
        <v>1782</v>
      </c>
      <c r="C80">
        <v>2021</v>
      </c>
      <c r="D80">
        <v>1644</v>
      </c>
      <c r="E80">
        <v>24</v>
      </c>
      <c r="F80">
        <v>427</v>
      </c>
      <c r="G80">
        <v>1796</v>
      </c>
      <c r="H80">
        <f t="shared" si="1"/>
        <v>1355</v>
      </c>
    </row>
    <row r="81" spans="1:8">
      <c r="A81" t="s">
        <v>31</v>
      </c>
      <c r="B81">
        <v>1476</v>
      </c>
      <c r="C81">
        <v>2021</v>
      </c>
      <c r="D81">
        <v>897</v>
      </c>
      <c r="E81">
        <v>23</v>
      </c>
      <c r="F81">
        <v>263</v>
      </c>
      <c r="G81">
        <v>1041</v>
      </c>
      <c r="H81">
        <f t="shared" si="1"/>
        <v>1213</v>
      </c>
    </row>
    <row r="82" spans="1:8">
      <c r="A82" t="s">
        <v>21</v>
      </c>
      <c r="B82">
        <v>269</v>
      </c>
      <c r="C82">
        <v>2021</v>
      </c>
      <c r="D82">
        <v>326</v>
      </c>
      <c r="E82">
        <v>6</v>
      </c>
      <c r="F82">
        <v>1</v>
      </c>
      <c r="G82">
        <v>332</v>
      </c>
      <c r="H82">
        <f t="shared" si="1"/>
        <v>268</v>
      </c>
    </row>
    <row r="83" spans="1:8">
      <c r="A83" t="s">
        <v>18</v>
      </c>
      <c r="B83">
        <v>21516</v>
      </c>
      <c r="C83">
        <v>2022</v>
      </c>
      <c r="D83">
        <v>10989</v>
      </c>
      <c r="E83">
        <v>267</v>
      </c>
      <c r="F83">
        <v>3917</v>
      </c>
      <c r="G83">
        <v>11886</v>
      </c>
      <c r="H83">
        <f t="shared" si="1"/>
        <v>17599</v>
      </c>
    </row>
    <row r="84" spans="1:8">
      <c r="A84" t="s">
        <v>20</v>
      </c>
      <c r="B84">
        <v>7491</v>
      </c>
      <c r="C84">
        <v>2022</v>
      </c>
      <c r="D84">
        <v>3612</v>
      </c>
      <c r="E84">
        <v>31</v>
      </c>
      <c r="F84">
        <v>1764</v>
      </c>
      <c r="G84">
        <v>4795</v>
      </c>
      <c r="H84">
        <f t="shared" si="1"/>
        <v>5727</v>
      </c>
    </row>
    <row r="85" spans="1:8">
      <c r="A85" t="s">
        <v>22</v>
      </c>
      <c r="B85">
        <v>7059</v>
      </c>
      <c r="C85">
        <v>2022</v>
      </c>
      <c r="D85">
        <v>4314</v>
      </c>
      <c r="E85">
        <v>73</v>
      </c>
      <c r="F85">
        <v>2347</v>
      </c>
      <c r="G85">
        <v>4644</v>
      </c>
      <c r="H85">
        <f t="shared" si="1"/>
        <v>4712</v>
      </c>
    </row>
    <row r="86" spans="1:8">
      <c r="A86" t="s">
        <v>24</v>
      </c>
      <c r="B86">
        <v>10650</v>
      </c>
      <c r="C86">
        <v>2022</v>
      </c>
      <c r="D86">
        <v>4811</v>
      </c>
      <c r="E86">
        <v>147</v>
      </c>
      <c r="F86">
        <v>3266</v>
      </c>
      <c r="G86">
        <v>5692</v>
      </c>
      <c r="H86">
        <f t="shared" si="1"/>
        <v>7384</v>
      </c>
    </row>
    <row r="87" spans="1:8">
      <c r="A87" t="s">
        <v>26</v>
      </c>
      <c r="B87">
        <v>7920</v>
      </c>
      <c r="C87">
        <v>2022</v>
      </c>
      <c r="D87">
        <v>4005</v>
      </c>
      <c r="E87">
        <v>108</v>
      </c>
      <c r="F87">
        <v>2374</v>
      </c>
      <c r="G87">
        <v>4746</v>
      </c>
      <c r="H87">
        <f t="shared" si="1"/>
        <v>5546</v>
      </c>
    </row>
    <row r="88" spans="1:8">
      <c r="A88" t="s">
        <v>28</v>
      </c>
      <c r="B88">
        <v>3110</v>
      </c>
      <c r="C88">
        <v>2022</v>
      </c>
      <c r="D88">
        <v>1776</v>
      </c>
      <c r="E88">
        <v>114</v>
      </c>
      <c r="F88">
        <v>346</v>
      </c>
      <c r="G88">
        <v>2013</v>
      </c>
      <c r="H88">
        <f t="shared" si="1"/>
        <v>2764</v>
      </c>
    </row>
    <row r="89" spans="1:8">
      <c r="A89" t="s">
        <v>25</v>
      </c>
      <c r="B89">
        <v>2946</v>
      </c>
      <c r="C89">
        <v>2022</v>
      </c>
      <c r="D89">
        <v>1319</v>
      </c>
      <c r="E89">
        <v>58</v>
      </c>
      <c r="F89">
        <v>700</v>
      </c>
      <c r="G89">
        <v>1606</v>
      </c>
      <c r="H89">
        <f t="shared" si="1"/>
        <v>2246</v>
      </c>
    </row>
    <row r="90" spans="1:8">
      <c r="A90" t="s">
        <v>30</v>
      </c>
      <c r="B90">
        <v>2441</v>
      </c>
      <c r="C90">
        <v>2022</v>
      </c>
      <c r="D90">
        <v>1521</v>
      </c>
      <c r="E90">
        <v>72</v>
      </c>
      <c r="F90">
        <v>297</v>
      </c>
      <c r="G90">
        <v>1654</v>
      </c>
      <c r="H90">
        <f t="shared" si="1"/>
        <v>2144</v>
      </c>
    </row>
    <row r="91" spans="1:8">
      <c r="A91" t="s">
        <v>32</v>
      </c>
      <c r="B91">
        <v>6981</v>
      </c>
      <c r="C91">
        <v>2022</v>
      </c>
      <c r="D91">
        <v>3064</v>
      </c>
      <c r="E91">
        <v>92</v>
      </c>
      <c r="F91">
        <v>1039</v>
      </c>
      <c r="G91">
        <v>3381</v>
      </c>
      <c r="H91">
        <f t="shared" si="1"/>
        <v>5942</v>
      </c>
    </row>
    <row r="92" spans="1:8">
      <c r="A92" t="s">
        <v>34</v>
      </c>
      <c r="B92">
        <v>3162</v>
      </c>
      <c r="C92">
        <v>2022</v>
      </c>
      <c r="D92">
        <v>1670</v>
      </c>
      <c r="E92">
        <v>34</v>
      </c>
      <c r="F92">
        <v>830</v>
      </c>
      <c r="G92">
        <v>1709</v>
      </c>
      <c r="H92">
        <f t="shared" si="1"/>
        <v>2332</v>
      </c>
    </row>
    <row r="93" spans="1:8">
      <c r="A93" t="s">
        <v>27</v>
      </c>
      <c r="B93">
        <v>2501</v>
      </c>
      <c r="C93">
        <v>2022</v>
      </c>
      <c r="D93">
        <v>1161</v>
      </c>
      <c r="E93">
        <v>59</v>
      </c>
      <c r="F93">
        <v>600</v>
      </c>
      <c r="G93">
        <v>1367</v>
      </c>
      <c r="H93">
        <f t="shared" si="1"/>
        <v>1901</v>
      </c>
    </row>
    <row r="94" spans="1:8">
      <c r="A94" t="s">
        <v>35</v>
      </c>
      <c r="B94">
        <v>2729</v>
      </c>
      <c r="C94">
        <v>2022</v>
      </c>
      <c r="D94">
        <v>1200</v>
      </c>
      <c r="E94">
        <v>44</v>
      </c>
      <c r="F94">
        <v>665</v>
      </c>
      <c r="G94">
        <v>1709</v>
      </c>
      <c r="H94">
        <f t="shared" si="1"/>
        <v>2064</v>
      </c>
    </row>
    <row r="95" spans="1:8">
      <c r="A95" t="s">
        <v>36</v>
      </c>
      <c r="B95">
        <v>4769</v>
      </c>
      <c r="C95">
        <v>2022</v>
      </c>
      <c r="D95">
        <v>2717</v>
      </c>
      <c r="E95">
        <v>79</v>
      </c>
      <c r="F95">
        <v>1631</v>
      </c>
      <c r="G95">
        <v>2911</v>
      </c>
      <c r="H95">
        <f t="shared" si="1"/>
        <v>3138</v>
      </c>
    </row>
    <row r="96" spans="1:8">
      <c r="A96" t="s">
        <v>38</v>
      </c>
      <c r="B96">
        <v>4589</v>
      </c>
      <c r="C96">
        <v>2022</v>
      </c>
      <c r="D96">
        <v>2105</v>
      </c>
      <c r="E96">
        <v>59</v>
      </c>
      <c r="F96">
        <v>1734</v>
      </c>
      <c r="G96">
        <v>2359</v>
      </c>
      <c r="H96">
        <f t="shared" si="1"/>
        <v>2855</v>
      </c>
    </row>
    <row r="97" spans="1:8">
      <c r="A97" t="s">
        <v>39</v>
      </c>
      <c r="B97">
        <v>8020</v>
      </c>
      <c r="C97">
        <v>2022</v>
      </c>
      <c r="D97">
        <v>3341</v>
      </c>
      <c r="E97">
        <v>131</v>
      </c>
      <c r="F97">
        <v>1660</v>
      </c>
      <c r="G97">
        <v>4530</v>
      </c>
      <c r="H97">
        <f t="shared" si="1"/>
        <v>6360</v>
      </c>
    </row>
    <row r="98" spans="1:8">
      <c r="A98" t="s">
        <v>40</v>
      </c>
      <c r="B98">
        <v>8379</v>
      </c>
      <c r="C98">
        <v>2022</v>
      </c>
      <c r="D98">
        <v>3275</v>
      </c>
      <c r="E98">
        <v>78</v>
      </c>
      <c r="F98">
        <v>1590</v>
      </c>
      <c r="G98">
        <v>4784</v>
      </c>
      <c r="H98">
        <f t="shared" si="1"/>
        <v>6789</v>
      </c>
    </row>
    <row r="99" spans="1:8">
      <c r="A99" t="s">
        <v>33</v>
      </c>
      <c r="B99">
        <v>3043</v>
      </c>
      <c r="C99">
        <v>2022</v>
      </c>
      <c r="D99">
        <v>1476</v>
      </c>
      <c r="E99">
        <v>50</v>
      </c>
      <c r="F99">
        <v>541</v>
      </c>
      <c r="G99">
        <v>1721</v>
      </c>
      <c r="H99">
        <f t="shared" si="1"/>
        <v>2502</v>
      </c>
    </row>
    <row r="100" spans="1:8">
      <c r="A100" t="s">
        <v>19</v>
      </c>
      <c r="B100">
        <v>734</v>
      </c>
      <c r="C100">
        <v>2022</v>
      </c>
      <c r="D100">
        <v>371</v>
      </c>
      <c r="E100">
        <v>11</v>
      </c>
      <c r="F100">
        <v>170</v>
      </c>
      <c r="G100">
        <v>410</v>
      </c>
      <c r="H100">
        <f t="shared" si="1"/>
        <v>564</v>
      </c>
    </row>
    <row r="101" spans="1:8">
      <c r="A101" t="s">
        <v>41</v>
      </c>
      <c r="B101">
        <v>7740</v>
      </c>
      <c r="C101">
        <v>2022</v>
      </c>
      <c r="D101">
        <v>3245</v>
      </c>
      <c r="E101">
        <v>156</v>
      </c>
      <c r="F101">
        <v>1464</v>
      </c>
      <c r="G101">
        <v>4520</v>
      </c>
      <c r="H101">
        <f t="shared" si="1"/>
        <v>6276</v>
      </c>
    </row>
    <row r="102" spans="1:8">
      <c r="A102" t="s">
        <v>23</v>
      </c>
      <c r="B102">
        <v>2383</v>
      </c>
      <c r="C102">
        <v>2022</v>
      </c>
      <c r="D102">
        <v>1115</v>
      </c>
      <c r="E102">
        <v>38</v>
      </c>
      <c r="F102">
        <v>420</v>
      </c>
      <c r="G102">
        <v>1454</v>
      </c>
      <c r="H102">
        <f t="shared" si="1"/>
        <v>1963</v>
      </c>
    </row>
    <row r="103" spans="1:8">
      <c r="A103" t="s">
        <v>42</v>
      </c>
      <c r="B103">
        <v>14541</v>
      </c>
      <c r="C103">
        <v>2022</v>
      </c>
      <c r="D103">
        <v>7277</v>
      </c>
      <c r="E103">
        <v>305</v>
      </c>
      <c r="F103">
        <v>5257</v>
      </c>
      <c r="G103">
        <v>8860</v>
      </c>
      <c r="H103">
        <f t="shared" si="1"/>
        <v>9284</v>
      </c>
    </row>
    <row r="104" spans="1:8">
      <c r="A104" t="s">
        <v>29</v>
      </c>
      <c r="B104">
        <v>2760</v>
      </c>
      <c r="C104">
        <v>2022</v>
      </c>
      <c r="D104">
        <v>1655</v>
      </c>
      <c r="E104">
        <v>61</v>
      </c>
      <c r="F104">
        <v>915</v>
      </c>
      <c r="G104">
        <v>1906</v>
      </c>
      <c r="H104">
        <f t="shared" si="1"/>
        <v>1845</v>
      </c>
    </row>
    <row r="105" spans="1:8">
      <c r="A105" t="s">
        <v>43</v>
      </c>
      <c r="B105">
        <v>10747</v>
      </c>
      <c r="C105">
        <v>2022</v>
      </c>
      <c r="D105">
        <v>4524</v>
      </c>
      <c r="E105">
        <v>114</v>
      </c>
      <c r="F105">
        <v>2043</v>
      </c>
      <c r="G105">
        <v>6018</v>
      </c>
      <c r="H105">
        <f t="shared" si="1"/>
        <v>8704</v>
      </c>
    </row>
    <row r="106" spans="1:8">
      <c r="A106" t="s">
        <v>1</v>
      </c>
      <c r="B106">
        <v>6549</v>
      </c>
      <c r="C106">
        <v>2022</v>
      </c>
      <c r="D106">
        <v>3384</v>
      </c>
      <c r="E106">
        <v>123</v>
      </c>
      <c r="F106">
        <v>1502</v>
      </c>
      <c r="G106">
        <v>4020</v>
      </c>
      <c r="H106">
        <f t="shared" si="1"/>
        <v>5047</v>
      </c>
    </row>
    <row r="107" spans="1:8">
      <c r="A107" t="s">
        <v>37</v>
      </c>
      <c r="B107">
        <v>4321</v>
      </c>
      <c r="C107">
        <v>2022</v>
      </c>
      <c r="D107">
        <v>1566</v>
      </c>
      <c r="E107">
        <v>24</v>
      </c>
      <c r="F107">
        <v>1912</v>
      </c>
      <c r="G107">
        <v>1737</v>
      </c>
      <c r="H107">
        <f t="shared" si="1"/>
        <v>2409</v>
      </c>
    </row>
    <row r="108" spans="1:8">
      <c r="A108" t="s">
        <v>31</v>
      </c>
      <c r="B108">
        <v>2838</v>
      </c>
      <c r="C108">
        <v>2022</v>
      </c>
      <c r="D108">
        <v>1270</v>
      </c>
      <c r="E108">
        <v>44</v>
      </c>
      <c r="F108">
        <v>863</v>
      </c>
      <c r="G108">
        <v>1476</v>
      </c>
      <c r="H108">
        <f t="shared" si="1"/>
        <v>1975</v>
      </c>
    </row>
    <row r="109" spans="1:8">
      <c r="A109" t="s">
        <v>21</v>
      </c>
      <c r="B109">
        <v>742</v>
      </c>
      <c r="C109">
        <v>2022</v>
      </c>
      <c r="D109">
        <v>257</v>
      </c>
      <c r="E109">
        <v>6</v>
      </c>
      <c r="F109">
        <v>66</v>
      </c>
      <c r="G109">
        <v>268</v>
      </c>
      <c r="H109">
        <f t="shared" si="1"/>
        <v>676</v>
      </c>
    </row>
    <row r="110" spans="1:8">
      <c r="A110" t="s">
        <v>18</v>
      </c>
      <c r="B110">
        <v>27690</v>
      </c>
      <c r="C110">
        <v>2023</v>
      </c>
      <c r="D110">
        <v>19466</v>
      </c>
      <c r="E110">
        <v>555</v>
      </c>
      <c r="F110">
        <v>4808</v>
      </c>
      <c r="G110">
        <v>21924</v>
      </c>
      <c r="H110">
        <f t="shared" si="1"/>
        <v>22882</v>
      </c>
    </row>
    <row r="111" spans="1:8">
      <c r="A111" t="s">
        <v>20</v>
      </c>
      <c r="B111">
        <v>10950</v>
      </c>
      <c r="C111">
        <v>2023</v>
      </c>
      <c r="D111">
        <v>7124</v>
      </c>
      <c r="E111">
        <v>55</v>
      </c>
      <c r="F111">
        <v>2230</v>
      </c>
      <c r="G111">
        <v>7831</v>
      </c>
      <c r="H111">
        <f t="shared" si="1"/>
        <v>8720</v>
      </c>
    </row>
    <row r="112" spans="1:8">
      <c r="A112" t="s">
        <v>22</v>
      </c>
      <c r="B112">
        <v>9327</v>
      </c>
      <c r="C112">
        <v>2023</v>
      </c>
      <c r="D112">
        <v>6265</v>
      </c>
      <c r="E112">
        <v>122</v>
      </c>
      <c r="F112">
        <v>2987</v>
      </c>
      <c r="G112">
        <v>7144</v>
      </c>
      <c r="H112">
        <f t="shared" si="1"/>
        <v>6340</v>
      </c>
    </row>
    <row r="113" spans="1:8">
      <c r="A113" t="s">
        <v>24</v>
      </c>
      <c r="B113">
        <v>12697</v>
      </c>
      <c r="C113">
        <v>2023</v>
      </c>
      <c r="D113">
        <v>9014</v>
      </c>
      <c r="E113">
        <v>414</v>
      </c>
      <c r="F113">
        <v>4103</v>
      </c>
      <c r="G113">
        <v>11006</v>
      </c>
      <c r="H113">
        <f t="shared" si="1"/>
        <v>8594</v>
      </c>
    </row>
    <row r="114" spans="1:8">
      <c r="A114" t="s">
        <v>26</v>
      </c>
      <c r="B114">
        <v>8615</v>
      </c>
      <c r="C114">
        <v>2023</v>
      </c>
      <c r="D114">
        <v>6676</v>
      </c>
      <c r="E114">
        <v>186</v>
      </c>
      <c r="F114">
        <v>2546</v>
      </c>
      <c r="G114">
        <v>7986</v>
      </c>
      <c r="H114">
        <f t="shared" si="1"/>
        <v>6069</v>
      </c>
    </row>
    <row r="115" spans="1:8">
      <c r="A115" t="s">
        <v>28</v>
      </c>
      <c r="B115">
        <v>3528</v>
      </c>
      <c r="C115">
        <v>2023</v>
      </c>
      <c r="D115">
        <v>2683</v>
      </c>
      <c r="E115">
        <v>147</v>
      </c>
      <c r="F115">
        <v>373</v>
      </c>
      <c r="G115">
        <v>3123</v>
      </c>
      <c r="H115">
        <f t="shared" si="1"/>
        <v>3155</v>
      </c>
    </row>
    <row r="116" spans="1:8">
      <c r="A116" t="s">
        <v>25</v>
      </c>
      <c r="B116">
        <v>3042</v>
      </c>
      <c r="C116">
        <v>2023</v>
      </c>
      <c r="D116">
        <v>2339</v>
      </c>
      <c r="E116">
        <v>72</v>
      </c>
      <c r="F116">
        <v>657</v>
      </c>
      <c r="G116">
        <v>2942</v>
      </c>
      <c r="H116">
        <f t="shared" si="1"/>
        <v>2385</v>
      </c>
    </row>
    <row r="117" spans="1:8">
      <c r="A117" t="s">
        <v>30</v>
      </c>
      <c r="B117">
        <v>3705</v>
      </c>
      <c r="C117">
        <v>2023</v>
      </c>
      <c r="D117">
        <v>2245</v>
      </c>
      <c r="E117">
        <v>76</v>
      </c>
      <c r="F117">
        <v>529</v>
      </c>
      <c r="G117">
        <v>2492</v>
      </c>
      <c r="H117">
        <f t="shared" si="1"/>
        <v>3176</v>
      </c>
    </row>
    <row r="118" spans="1:8">
      <c r="A118" t="s">
        <v>32</v>
      </c>
      <c r="B118">
        <v>8238</v>
      </c>
      <c r="C118">
        <v>2023</v>
      </c>
      <c r="D118">
        <v>6364</v>
      </c>
      <c r="E118">
        <v>154</v>
      </c>
      <c r="F118">
        <v>1194</v>
      </c>
      <c r="G118">
        <v>7138</v>
      </c>
      <c r="H118">
        <f t="shared" si="1"/>
        <v>7044</v>
      </c>
    </row>
    <row r="119" spans="1:8">
      <c r="A119" t="s">
        <v>34</v>
      </c>
      <c r="B119">
        <v>4318</v>
      </c>
      <c r="C119">
        <v>2023</v>
      </c>
      <c r="D119">
        <v>2616</v>
      </c>
      <c r="E119">
        <v>60</v>
      </c>
      <c r="F119">
        <v>1008</v>
      </c>
      <c r="G119">
        <v>3217</v>
      </c>
      <c r="H119">
        <f t="shared" si="1"/>
        <v>3310</v>
      </c>
    </row>
    <row r="120" spans="1:8">
      <c r="A120" t="s">
        <v>27</v>
      </c>
      <c r="B120">
        <v>3020</v>
      </c>
      <c r="C120">
        <v>2023</v>
      </c>
      <c r="D120">
        <v>2173</v>
      </c>
      <c r="E120">
        <v>83</v>
      </c>
      <c r="F120">
        <v>686</v>
      </c>
      <c r="G120">
        <v>2535</v>
      </c>
      <c r="H120">
        <f t="shared" si="1"/>
        <v>2334</v>
      </c>
    </row>
    <row r="121" spans="1:8">
      <c r="A121" t="s">
        <v>35</v>
      </c>
      <c r="B121">
        <v>5148</v>
      </c>
      <c r="C121">
        <v>2023</v>
      </c>
      <c r="D121">
        <v>2720</v>
      </c>
      <c r="E121">
        <v>105</v>
      </c>
      <c r="F121">
        <v>1060</v>
      </c>
      <c r="G121">
        <v>3190</v>
      </c>
      <c r="H121">
        <f t="shared" si="1"/>
        <v>4088</v>
      </c>
    </row>
    <row r="122" spans="1:8">
      <c r="A122" t="s">
        <v>36</v>
      </c>
      <c r="B122">
        <v>5666</v>
      </c>
      <c r="C122">
        <v>2023</v>
      </c>
      <c r="D122">
        <v>4357</v>
      </c>
      <c r="E122">
        <v>116</v>
      </c>
      <c r="F122">
        <v>1765</v>
      </c>
      <c r="G122">
        <v>4830</v>
      </c>
      <c r="H122">
        <f t="shared" si="1"/>
        <v>3901</v>
      </c>
    </row>
    <row r="123" spans="1:8">
      <c r="A123" t="s">
        <v>38</v>
      </c>
      <c r="B123">
        <v>5607</v>
      </c>
      <c r="C123">
        <v>2023</v>
      </c>
      <c r="D123">
        <v>3913</v>
      </c>
      <c r="E123">
        <v>79</v>
      </c>
      <c r="F123">
        <v>1937</v>
      </c>
      <c r="G123">
        <v>4800</v>
      </c>
      <c r="H123">
        <f t="shared" si="1"/>
        <v>3670</v>
      </c>
    </row>
    <row r="124" spans="1:8">
      <c r="A124" t="s">
        <v>39</v>
      </c>
      <c r="B124">
        <v>12868</v>
      </c>
      <c r="C124">
        <v>2023</v>
      </c>
      <c r="D124">
        <v>6974</v>
      </c>
      <c r="E124">
        <v>189</v>
      </c>
      <c r="F124">
        <v>3008</v>
      </c>
      <c r="G124">
        <v>8449</v>
      </c>
      <c r="H124">
        <f t="shared" si="1"/>
        <v>9860</v>
      </c>
    </row>
    <row r="125" spans="1:8">
      <c r="A125" t="s">
        <v>40</v>
      </c>
      <c r="B125">
        <v>13515</v>
      </c>
      <c r="C125">
        <v>2023</v>
      </c>
      <c r="D125">
        <v>6295</v>
      </c>
      <c r="E125">
        <v>128</v>
      </c>
      <c r="F125">
        <v>2354</v>
      </c>
      <c r="G125">
        <v>8631</v>
      </c>
      <c r="H125">
        <f t="shared" si="1"/>
        <v>11161</v>
      </c>
    </row>
    <row r="126" spans="1:8">
      <c r="A126" t="s">
        <v>33</v>
      </c>
      <c r="B126">
        <v>4178</v>
      </c>
      <c r="C126">
        <v>2023</v>
      </c>
      <c r="D126">
        <v>2785</v>
      </c>
      <c r="E126">
        <v>73</v>
      </c>
      <c r="F126">
        <v>1100</v>
      </c>
      <c r="G126">
        <v>3171</v>
      </c>
      <c r="H126">
        <f t="shared" si="1"/>
        <v>3078</v>
      </c>
    </row>
    <row r="127" spans="1:8">
      <c r="A127" t="s">
        <v>19</v>
      </c>
      <c r="B127">
        <v>954</v>
      </c>
      <c r="C127">
        <v>2023</v>
      </c>
      <c r="D127">
        <v>645</v>
      </c>
      <c r="E127">
        <v>34</v>
      </c>
      <c r="F127">
        <v>221</v>
      </c>
      <c r="G127">
        <v>755</v>
      </c>
      <c r="H127">
        <f t="shared" si="1"/>
        <v>733</v>
      </c>
    </row>
    <row r="128" spans="1:8">
      <c r="A128" t="s">
        <v>41</v>
      </c>
      <c r="B128">
        <v>10354</v>
      </c>
      <c r="C128">
        <v>2023</v>
      </c>
      <c r="D128">
        <v>5905</v>
      </c>
      <c r="E128">
        <v>270</v>
      </c>
      <c r="F128">
        <v>1855</v>
      </c>
      <c r="G128">
        <v>7800</v>
      </c>
      <c r="H128">
        <f t="shared" si="1"/>
        <v>8499</v>
      </c>
    </row>
    <row r="129" spans="1:8">
      <c r="A129" t="s">
        <v>23</v>
      </c>
      <c r="B129">
        <v>3431</v>
      </c>
      <c r="C129">
        <v>2023</v>
      </c>
      <c r="D129">
        <v>1801</v>
      </c>
      <c r="E129">
        <v>61</v>
      </c>
      <c r="F129">
        <v>590</v>
      </c>
      <c r="G129">
        <v>2426</v>
      </c>
      <c r="H129">
        <f t="shared" si="1"/>
        <v>2841</v>
      </c>
    </row>
    <row r="130" spans="1:8">
      <c r="A130" t="s">
        <v>42</v>
      </c>
      <c r="B130">
        <v>18327</v>
      </c>
      <c r="C130">
        <v>2023</v>
      </c>
      <c r="D130">
        <v>12269</v>
      </c>
      <c r="E130">
        <v>424</v>
      </c>
      <c r="F130">
        <v>6625</v>
      </c>
      <c r="G130">
        <v>14786</v>
      </c>
      <c r="H130">
        <f t="shared" si="1"/>
        <v>11702</v>
      </c>
    </row>
    <row r="131" spans="1:8">
      <c r="A131" t="s">
        <v>29</v>
      </c>
      <c r="B131">
        <v>4127</v>
      </c>
      <c r="C131">
        <v>2023</v>
      </c>
      <c r="D131">
        <v>2388</v>
      </c>
      <c r="E131">
        <v>60</v>
      </c>
      <c r="F131">
        <v>1259</v>
      </c>
      <c r="G131">
        <v>2874</v>
      </c>
      <c r="H131">
        <f t="shared" ref="H131:H163" si="2">B131-F131</f>
        <v>2868</v>
      </c>
    </row>
    <row r="132" spans="1:8">
      <c r="A132" t="s">
        <v>43</v>
      </c>
      <c r="B132">
        <v>14279</v>
      </c>
      <c r="C132">
        <v>2023</v>
      </c>
      <c r="D132">
        <v>8455</v>
      </c>
      <c r="E132">
        <v>196</v>
      </c>
      <c r="F132">
        <v>3072</v>
      </c>
      <c r="G132">
        <v>11041</v>
      </c>
      <c r="H132">
        <f t="shared" si="2"/>
        <v>11207</v>
      </c>
    </row>
    <row r="133" spans="1:8">
      <c r="A133" t="s">
        <v>1</v>
      </c>
      <c r="B133">
        <v>7849</v>
      </c>
      <c r="C133">
        <v>2023</v>
      </c>
      <c r="D133">
        <v>5426</v>
      </c>
      <c r="E133">
        <v>181</v>
      </c>
      <c r="F133">
        <v>1594</v>
      </c>
      <c r="G133">
        <v>6636</v>
      </c>
      <c r="H133">
        <f t="shared" si="2"/>
        <v>6255</v>
      </c>
    </row>
    <row r="134" spans="1:8">
      <c r="A134" t="s">
        <v>37</v>
      </c>
      <c r="B134">
        <v>4602</v>
      </c>
      <c r="C134">
        <v>2023</v>
      </c>
      <c r="D134">
        <v>4110</v>
      </c>
      <c r="E134">
        <v>38</v>
      </c>
      <c r="F134">
        <v>1473</v>
      </c>
      <c r="G134">
        <v>4449</v>
      </c>
      <c r="H134">
        <f t="shared" si="2"/>
        <v>3129</v>
      </c>
    </row>
    <row r="135" spans="1:8">
      <c r="A135" t="s">
        <v>31</v>
      </c>
      <c r="B135">
        <v>4749</v>
      </c>
      <c r="C135">
        <v>2023</v>
      </c>
      <c r="D135">
        <v>2260</v>
      </c>
      <c r="E135">
        <v>80</v>
      </c>
      <c r="F135">
        <v>1709</v>
      </c>
      <c r="G135">
        <v>2875</v>
      </c>
      <c r="H135">
        <f t="shared" si="2"/>
        <v>3040</v>
      </c>
    </row>
    <row r="136" spans="1:8">
      <c r="A136" t="s">
        <v>21</v>
      </c>
      <c r="B136">
        <v>1175</v>
      </c>
      <c r="C136">
        <v>2023</v>
      </c>
      <c r="D136">
        <v>760</v>
      </c>
      <c r="E136">
        <v>21</v>
      </c>
      <c r="F136">
        <v>250</v>
      </c>
      <c r="G136">
        <v>811</v>
      </c>
      <c r="H136">
        <f t="shared" si="2"/>
        <v>925</v>
      </c>
    </row>
    <row r="137" spans="1:8">
      <c r="A137" t="s">
        <v>18</v>
      </c>
      <c r="B137">
        <v>29110</v>
      </c>
      <c r="C137">
        <v>2024</v>
      </c>
      <c r="D137">
        <v>21696</v>
      </c>
      <c r="E137">
        <v>680</v>
      </c>
      <c r="F137">
        <v>4426</v>
      </c>
      <c r="G137">
        <v>25464</v>
      </c>
      <c r="H137">
        <f t="shared" si="2"/>
        <v>24684</v>
      </c>
    </row>
    <row r="138" spans="1:8">
      <c r="A138" t="s">
        <v>20</v>
      </c>
      <c r="B138">
        <v>12411</v>
      </c>
      <c r="C138">
        <v>2024</v>
      </c>
      <c r="D138">
        <v>7540</v>
      </c>
      <c r="E138">
        <v>73</v>
      </c>
      <c r="F138">
        <v>3041</v>
      </c>
      <c r="G138">
        <v>9231</v>
      </c>
      <c r="H138">
        <f t="shared" si="2"/>
        <v>9370</v>
      </c>
    </row>
    <row r="139" spans="1:8">
      <c r="A139" t="s">
        <v>22</v>
      </c>
      <c r="B139">
        <v>12197</v>
      </c>
      <c r="C139">
        <v>2024</v>
      </c>
      <c r="D139">
        <v>6747</v>
      </c>
      <c r="E139">
        <v>134</v>
      </c>
      <c r="F139">
        <v>3582</v>
      </c>
      <c r="G139">
        <v>7623</v>
      </c>
      <c r="H139">
        <f t="shared" si="2"/>
        <v>8615</v>
      </c>
    </row>
    <row r="140" spans="1:8">
      <c r="A140" t="s">
        <v>24</v>
      </c>
      <c r="B140">
        <v>14012</v>
      </c>
      <c r="C140">
        <v>2024</v>
      </c>
      <c r="D140">
        <v>10844</v>
      </c>
      <c r="E140">
        <v>272</v>
      </c>
      <c r="F140">
        <v>4323</v>
      </c>
      <c r="G140">
        <v>12345</v>
      </c>
      <c r="H140">
        <f t="shared" si="2"/>
        <v>9689</v>
      </c>
    </row>
    <row r="141" spans="1:8">
      <c r="A141" t="s">
        <v>26</v>
      </c>
      <c r="B141">
        <v>9516</v>
      </c>
      <c r="C141">
        <v>2024</v>
      </c>
      <c r="D141">
        <v>6751</v>
      </c>
      <c r="E141">
        <v>158</v>
      </c>
      <c r="F141">
        <v>2479</v>
      </c>
      <c r="G141">
        <v>8271</v>
      </c>
      <c r="H141">
        <f t="shared" si="2"/>
        <v>7037</v>
      </c>
    </row>
    <row r="142" spans="1:8">
      <c r="A142" t="s">
        <v>28</v>
      </c>
      <c r="B142">
        <v>4881</v>
      </c>
      <c r="C142">
        <v>2024</v>
      </c>
      <c r="D142">
        <v>2908</v>
      </c>
      <c r="E142">
        <v>157</v>
      </c>
      <c r="F142">
        <v>741</v>
      </c>
      <c r="G142">
        <v>3312</v>
      </c>
      <c r="H142">
        <f t="shared" si="2"/>
        <v>4140</v>
      </c>
    </row>
    <row r="143" spans="1:8">
      <c r="A143" t="s">
        <v>25</v>
      </c>
      <c r="B143">
        <v>3477</v>
      </c>
      <c r="C143">
        <v>2024</v>
      </c>
      <c r="D143">
        <v>2460</v>
      </c>
      <c r="E143">
        <v>65</v>
      </c>
      <c r="F143">
        <v>567</v>
      </c>
      <c r="G143">
        <v>2895</v>
      </c>
      <c r="H143">
        <f t="shared" si="2"/>
        <v>2910</v>
      </c>
    </row>
    <row r="144" spans="1:8">
      <c r="A144" t="s">
        <v>30</v>
      </c>
      <c r="B144">
        <v>4045</v>
      </c>
      <c r="C144">
        <v>2024</v>
      </c>
      <c r="D144">
        <v>2580</v>
      </c>
      <c r="E144">
        <v>81</v>
      </c>
      <c r="F144">
        <v>551</v>
      </c>
      <c r="G144">
        <v>3054</v>
      </c>
      <c r="H144">
        <f t="shared" si="2"/>
        <v>3494</v>
      </c>
    </row>
    <row r="145" spans="1:8">
      <c r="A145" t="s">
        <v>32</v>
      </c>
      <c r="B145">
        <v>9587</v>
      </c>
      <c r="C145">
        <v>2024</v>
      </c>
      <c r="D145">
        <v>6486</v>
      </c>
      <c r="E145">
        <v>178</v>
      </c>
      <c r="F145">
        <v>1632</v>
      </c>
      <c r="G145">
        <v>7681</v>
      </c>
      <c r="H145">
        <f t="shared" si="2"/>
        <v>7955</v>
      </c>
    </row>
    <row r="146" spans="1:8">
      <c r="A146" t="s">
        <v>34</v>
      </c>
      <c r="B146">
        <v>4517</v>
      </c>
      <c r="C146">
        <v>2024</v>
      </c>
      <c r="D146">
        <v>3167</v>
      </c>
      <c r="E146">
        <v>87</v>
      </c>
      <c r="F146">
        <v>946</v>
      </c>
      <c r="G146">
        <v>3959</v>
      </c>
      <c r="H146">
        <f t="shared" si="2"/>
        <v>3571</v>
      </c>
    </row>
    <row r="147" spans="1:8">
      <c r="A147" t="s">
        <v>27</v>
      </c>
      <c r="B147">
        <v>3930</v>
      </c>
      <c r="C147">
        <v>2024</v>
      </c>
      <c r="D147">
        <v>2287</v>
      </c>
      <c r="E147">
        <v>119</v>
      </c>
      <c r="F147">
        <v>1150</v>
      </c>
      <c r="G147">
        <v>2726</v>
      </c>
      <c r="H147">
        <f t="shared" si="2"/>
        <v>2780</v>
      </c>
    </row>
    <row r="148" spans="1:8">
      <c r="A148" t="s">
        <v>35</v>
      </c>
      <c r="B148">
        <v>6092</v>
      </c>
      <c r="C148">
        <v>2024</v>
      </c>
      <c r="D148">
        <v>2905</v>
      </c>
      <c r="E148">
        <v>135</v>
      </c>
      <c r="F148">
        <v>1121</v>
      </c>
      <c r="G148">
        <v>4118</v>
      </c>
      <c r="H148">
        <f t="shared" si="2"/>
        <v>4971</v>
      </c>
    </row>
    <row r="149" spans="1:8">
      <c r="A149" t="s">
        <v>36</v>
      </c>
      <c r="B149">
        <v>6321</v>
      </c>
      <c r="C149">
        <v>2024</v>
      </c>
      <c r="D149">
        <v>4927</v>
      </c>
      <c r="E149">
        <v>165</v>
      </c>
      <c r="F149">
        <v>1816</v>
      </c>
      <c r="G149">
        <v>5728</v>
      </c>
      <c r="H149">
        <f t="shared" si="2"/>
        <v>4505</v>
      </c>
    </row>
    <row r="150" spans="1:8">
      <c r="A150" t="s">
        <v>38</v>
      </c>
      <c r="B150">
        <v>4687</v>
      </c>
      <c r="C150">
        <v>2024</v>
      </c>
      <c r="D150">
        <v>4063</v>
      </c>
      <c r="E150">
        <v>98</v>
      </c>
      <c r="F150">
        <v>1195</v>
      </c>
      <c r="G150">
        <v>5101</v>
      </c>
      <c r="H150">
        <f t="shared" si="2"/>
        <v>3492</v>
      </c>
    </row>
    <row r="151" spans="1:8">
      <c r="A151" t="s">
        <v>39</v>
      </c>
      <c r="B151">
        <v>13474</v>
      </c>
      <c r="C151">
        <v>2024</v>
      </c>
      <c r="D151">
        <v>8762</v>
      </c>
      <c r="E151">
        <v>296</v>
      </c>
      <c r="F151">
        <v>2722</v>
      </c>
      <c r="G151">
        <v>10671</v>
      </c>
      <c r="H151">
        <f t="shared" si="2"/>
        <v>10752</v>
      </c>
    </row>
    <row r="152" spans="1:8">
      <c r="A152" t="s">
        <v>40</v>
      </c>
      <c r="B152">
        <v>15458</v>
      </c>
      <c r="C152">
        <v>2024</v>
      </c>
      <c r="D152">
        <v>8527</v>
      </c>
      <c r="E152">
        <v>154</v>
      </c>
      <c r="F152">
        <v>2457</v>
      </c>
      <c r="G152">
        <v>11205</v>
      </c>
      <c r="H152">
        <f t="shared" si="2"/>
        <v>13001</v>
      </c>
    </row>
    <row r="153" spans="1:8">
      <c r="A153" t="s">
        <v>33</v>
      </c>
      <c r="B153">
        <v>4569</v>
      </c>
      <c r="C153">
        <v>2024</v>
      </c>
      <c r="D153">
        <v>3648</v>
      </c>
      <c r="E153">
        <v>75</v>
      </c>
      <c r="F153">
        <v>1131</v>
      </c>
      <c r="G153">
        <v>4017</v>
      </c>
      <c r="H153">
        <f t="shared" si="2"/>
        <v>3438</v>
      </c>
    </row>
    <row r="154" spans="1:8">
      <c r="A154" t="s">
        <v>19</v>
      </c>
      <c r="B154">
        <v>968</v>
      </c>
      <c r="C154">
        <v>2024</v>
      </c>
      <c r="D154">
        <v>747</v>
      </c>
      <c r="E154">
        <v>38</v>
      </c>
      <c r="F154">
        <v>179</v>
      </c>
      <c r="G154">
        <v>861</v>
      </c>
      <c r="H154">
        <f t="shared" si="2"/>
        <v>789</v>
      </c>
    </row>
    <row r="155" spans="1:8">
      <c r="A155" t="s">
        <v>41</v>
      </c>
      <c r="B155">
        <v>11418</v>
      </c>
      <c r="C155">
        <v>2024</v>
      </c>
      <c r="D155">
        <v>7290</v>
      </c>
      <c r="E155">
        <v>341</v>
      </c>
      <c r="F155">
        <v>2145</v>
      </c>
      <c r="G155">
        <v>9203</v>
      </c>
      <c r="H155">
        <f t="shared" si="2"/>
        <v>9273</v>
      </c>
    </row>
    <row r="156" spans="1:8">
      <c r="A156" t="s">
        <v>23</v>
      </c>
      <c r="B156">
        <v>3477</v>
      </c>
      <c r="C156">
        <v>2024</v>
      </c>
      <c r="D156">
        <v>1993</v>
      </c>
      <c r="E156">
        <v>117</v>
      </c>
      <c r="F156">
        <v>652</v>
      </c>
      <c r="G156">
        <v>2937</v>
      </c>
      <c r="H156">
        <f t="shared" si="2"/>
        <v>2825</v>
      </c>
    </row>
    <row r="157" spans="1:8">
      <c r="A157" t="s">
        <v>42</v>
      </c>
      <c r="B157">
        <v>18627</v>
      </c>
      <c r="C157">
        <v>2024</v>
      </c>
      <c r="D157">
        <v>12026</v>
      </c>
      <c r="E157">
        <v>489</v>
      </c>
      <c r="F157">
        <v>6434</v>
      </c>
      <c r="G157">
        <v>16911</v>
      </c>
      <c r="H157">
        <f t="shared" si="2"/>
        <v>12193</v>
      </c>
    </row>
    <row r="158" spans="1:8">
      <c r="A158" t="s">
        <v>29</v>
      </c>
      <c r="B158">
        <v>4122</v>
      </c>
      <c r="C158">
        <v>2024</v>
      </c>
      <c r="D158">
        <v>2241</v>
      </c>
      <c r="E158">
        <v>79</v>
      </c>
      <c r="F158">
        <v>1111</v>
      </c>
      <c r="G158">
        <v>3731</v>
      </c>
      <c r="H158">
        <f t="shared" si="2"/>
        <v>3011</v>
      </c>
    </row>
    <row r="159" spans="1:8">
      <c r="A159" t="s">
        <v>43</v>
      </c>
      <c r="B159">
        <v>13640</v>
      </c>
      <c r="C159">
        <v>2024</v>
      </c>
      <c r="D159">
        <v>10232</v>
      </c>
      <c r="E159">
        <v>252</v>
      </c>
      <c r="F159">
        <v>2762</v>
      </c>
      <c r="G159">
        <v>12922</v>
      </c>
      <c r="H159">
        <f t="shared" si="2"/>
        <v>10878</v>
      </c>
    </row>
    <row r="160" spans="1:8">
      <c r="A160" t="s">
        <v>1</v>
      </c>
      <c r="B160">
        <v>8422</v>
      </c>
      <c r="C160">
        <v>2024</v>
      </c>
      <c r="D160">
        <v>5840</v>
      </c>
      <c r="E160">
        <v>314</v>
      </c>
      <c r="F160">
        <v>1382</v>
      </c>
      <c r="G160">
        <v>7258</v>
      </c>
      <c r="H160">
        <f t="shared" si="2"/>
        <v>7040</v>
      </c>
    </row>
    <row r="161" spans="1:8">
      <c r="A161" t="s">
        <v>37</v>
      </c>
      <c r="B161">
        <v>4513</v>
      </c>
      <c r="C161">
        <v>2024</v>
      </c>
      <c r="D161">
        <v>3610</v>
      </c>
      <c r="E161">
        <v>58</v>
      </c>
      <c r="F161">
        <v>1438</v>
      </c>
      <c r="G161">
        <v>3986</v>
      </c>
      <c r="H161">
        <f t="shared" si="2"/>
        <v>3075</v>
      </c>
    </row>
    <row r="162" spans="1:8">
      <c r="A162" t="s">
        <v>31</v>
      </c>
      <c r="B162">
        <v>4693</v>
      </c>
      <c r="C162">
        <v>2024</v>
      </c>
      <c r="D162">
        <v>3144</v>
      </c>
      <c r="E162">
        <v>121</v>
      </c>
      <c r="F162">
        <v>1696</v>
      </c>
      <c r="G162">
        <v>4018</v>
      </c>
      <c r="H162">
        <f t="shared" si="2"/>
        <v>2997</v>
      </c>
    </row>
    <row r="163" spans="1:8">
      <c r="A163" t="s">
        <v>21</v>
      </c>
      <c r="B163">
        <v>1519</v>
      </c>
      <c r="C163">
        <v>2024</v>
      </c>
      <c r="D163">
        <v>975</v>
      </c>
      <c r="E163">
        <v>31</v>
      </c>
      <c r="F163">
        <v>513</v>
      </c>
      <c r="G163">
        <v>1080</v>
      </c>
      <c r="H163">
        <f t="shared" si="2"/>
        <v>1006</v>
      </c>
    </row>
  </sheetData>
  <sortState xmlns:xlrd2="http://schemas.microsoft.com/office/spreadsheetml/2017/richdata2" ref="J2:N341">
    <sortCondition ref="K1:K341"/>
  </sortState>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530CF-AC08-434D-8760-419EE4AD118B}">
  <dimension ref="C1:K29"/>
  <sheetViews>
    <sheetView showGridLines="0" tabSelected="1" topLeftCell="A2" zoomScale="50" zoomScaleNormal="139" workbookViewId="0">
      <selection activeCell="X23" sqref="X23"/>
    </sheetView>
  </sheetViews>
  <sheetFormatPr defaultRowHeight="14.45"/>
  <cols>
    <col min="1" max="1" width="34.5703125" customWidth="1"/>
    <col min="2" max="2" width="40.85546875" customWidth="1"/>
    <col min="3" max="3" width="44" customWidth="1"/>
    <col min="4" max="4" width="37.5703125" customWidth="1"/>
    <col min="5" max="5" width="4.85546875" customWidth="1"/>
  </cols>
  <sheetData>
    <row r="1" spans="3:11" ht="39.950000000000003" customHeight="1"/>
    <row r="2" spans="3:11" ht="39.950000000000003" customHeight="1"/>
    <row r="3" spans="3:11" ht="39.950000000000003" customHeight="1"/>
    <row r="4" spans="3:11" ht="38.450000000000003" customHeight="1"/>
    <row r="5" spans="3:11" ht="20.45" customHeight="1">
      <c r="C5" s="7" t="s">
        <v>44</v>
      </c>
      <c r="D5" s="7" t="s">
        <v>45</v>
      </c>
      <c r="F5" s="8"/>
      <c r="G5" s="8"/>
      <c r="H5" s="8"/>
      <c r="I5" s="8"/>
      <c r="J5" s="8"/>
      <c r="K5" s="8"/>
    </row>
    <row r="6" spans="3:11" ht="9.9499999999999993" customHeight="1">
      <c r="C6" s="5" t="str" cm="1">
        <f t="array" ref="C6:D15">INDEX(Dataset!J2:K28,Dataset!L1+_xlfn.SEQUENCE(10),_xlfn.SEQUENCE(1,2))</f>
        <v>KABUPATEN PANGANDARAN</v>
      </c>
      <c r="D6" s="6">
        <v>3742</v>
      </c>
      <c r="F6" s="8"/>
      <c r="G6" s="8"/>
      <c r="H6" s="8"/>
      <c r="I6" s="8"/>
      <c r="J6" s="8"/>
      <c r="K6" s="8"/>
    </row>
    <row r="7" spans="3:11" ht="9.9499999999999993" customHeight="1">
      <c r="C7" s="5" t="str">
        <v>KOTA BANJAR</v>
      </c>
      <c r="D7" s="6">
        <v>4865</v>
      </c>
      <c r="F7" s="8"/>
      <c r="G7" s="8"/>
      <c r="H7" s="8"/>
      <c r="I7" s="8"/>
      <c r="J7" s="8"/>
      <c r="K7" s="8"/>
    </row>
    <row r="8" spans="3:11" ht="9.9499999999999993" customHeight="1">
      <c r="C8" s="5" t="str">
        <v>KOTA SUKABUMI</v>
      </c>
      <c r="D8" s="6">
        <v>13557</v>
      </c>
      <c r="F8" s="8"/>
      <c r="G8" s="8"/>
      <c r="H8" s="8"/>
      <c r="I8" s="8"/>
      <c r="J8" s="8"/>
      <c r="K8" s="8"/>
    </row>
    <row r="9" spans="3:11" ht="9.9499999999999993" customHeight="1">
      <c r="C9" s="5" t="str">
        <v>KABUPATEN CIAMIS</v>
      </c>
      <c r="D9" s="6">
        <v>13989</v>
      </c>
      <c r="F9" s="8"/>
      <c r="G9" s="8"/>
      <c r="H9" s="8"/>
      <c r="I9" s="8"/>
      <c r="J9" s="8"/>
      <c r="K9" s="8"/>
    </row>
    <row r="10" spans="3:11" ht="9.9499999999999993" customHeight="1">
      <c r="C10" s="5" t="str">
        <v>KABUPATEN SUMEDANG</v>
      </c>
      <c r="D10" s="6">
        <v>14217</v>
      </c>
      <c r="F10" s="8"/>
      <c r="G10" s="8"/>
      <c r="H10" s="8"/>
      <c r="I10" s="8"/>
      <c r="J10" s="8"/>
      <c r="K10" s="8"/>
    </row>
    <row r="11" spans="3:11" ht="9.9499999999999993" customHeight="1">
      <c r="C11" s="5" t="str">
        <v>KOTA CIREBON</v>
      </c>
      <c r="D11" s="6">
        <v>15799</v>
      </c>
      <c r="F11" s="8"/>
      <c r="G11" s="8"/>
      <c r="H11" s="8"/>
      <c r="I11" s="8"/>
      <c r="J11" s="8"/>
      <c r="K11" s="8"/>
    </row>
    <row r="12" spans="3:11" ht="9.9499999999999993" customHeight="1">
      <c r="C12" s="5" t="str">
        <v>KABUPATEN KUNINGAN</v>
      </c>
      <c r="D12" s="6">
        <v>16061</v>
      </c>
      <c r="F12" s="8"/>
      <c r="G12" s="8"/>
      <c r="H12" s="8"/>
      <c r="I12" s="8"/>
      <c r="J12" s="8"/>
      <c r="K12" s="8"/>
    </row>
    <row r="13" spans="3:11" ht="9.9499999999999993" customHeight="1">
      <c r="C13" s="5" t="str">
        <v>KOTA TASIKMALAYA</v>
      </c>
      <c r="D13" s="6">
        <v>16153</v>
      </c>
      <c r="F13" s="8"/>
      <c r="G13" s="8"/>
      <c r="H13" s="8"/>
      <c r="I13" s="8"/>
      <c r="J13" s="8"/>
      <c r="K13" s="8"/>
    </row>
    <row r="14" spans="3:11" ht="9.9499999999999993" customHeight="1">
      <c r="C14" s="5" t="str">
        <v>KABUPATEN BANDUNG BARAT</v>
      </c>
      <c r="D14" s="6">
        <v>17090</v>
      </c>
      <c r="F14" s="8"/>
      <c r="G14" s="8"/>
      <c r="H14" s="8"/>
      <c r="I14" s="8"/>
      <c r="J14" s="8"/>
      <c r="K14" s="8"/>
    </row>
    <row r="15" spans="3:11" ht="9.9499999999999993" customHeight="1">
      <c r="C15" s="5" t="str">
        <v>KABUPATEN MAJALENGKA</v>
      </c>
      <c r="D15" s="6">
        <v>17637</v>
      </c>
      <c r="F15" s="8"/>
      <c r="G15" s="8"/>
      <c r="H15" s="8"/>
      <c r="I15" s="8"/>
      <c r="J15" s="8"/>
      <c r="K15" s="8"/>
    </row>
    <row r="16" spans="3:11">
      <c r="F16" s="8"/>
      <c r="G16" s="8"/>
      <c r="H16" s="8"/>
      <c r="I16" s="8"/>
      <c r="J16" s="8"/>
      <c r="K16" s="8"/>
    </row>
    <row r="17" spans="6:11">
      <c r="F17" s="8"/>
      <c r="G17" s="8"/>
      <c r="H17" s="8"/>
      <c r="I17" s="8"/>
      <c r="J17" s="8"/>
      <c r="K17" s="8"/>
    </row>
    <row r="18" spans="6:11">
      <c r="F18" s="8"/>
      <c r="G18" s="8"/>
      <c r="H18" s="8"/>
      <c r="I18" s="8"/>
      <c r="J18" s="8"/>
      <c r="K18" s="8"/>
    </row>
    <row r="19" spans="6:11">
      <c r="F19" s="8"/>
      <c r="G19" s="8"/>
      <c r="H19" s="8"/>
      <c r="I19" s="8"/>
      <c r="J19" s="8"/>
      <c r="K19" s="8"/>
    </row>
    <row r="20" spans="6:11">
      <c r="F20" s="8"/>
      <c r="G20" s="8"/>
      <c r="H20" s="8"/>
      <c r="I20" s="8"/>
      <c r="J20" s="8"/>
      <c r="K20" s="8"/>
    </row>
    <row r="21" spans="6:11">
      <c r="F21" s="8"/>
      <c r="G21" s="8"/>
      <c r="H21" s="8"/>
      <c r="I21" s="8"/>
      <c r="J21" s="8"/>
      <c r="K21" s="8"/>
    </row>
    <row r="22" spans="6:11">
      <c r="F22" s="8"/>
      <c r="G22" s="8"/>
      <c r="H22" s="8"/>
      <c r="I22" s="8"/>
      <c r="J22" s="8"/>
      <c r="K22" s="8"/>
    </row>
    <row r="23" spans="6:11">
      <c r="F23" s="8"/>
      <c r="G23" s="8"/>
      <c r="H23" s="8"/>
      <c r="I23" s="8"/>
      <c r="J23" s="8"/>
      <c r="K23" s="8"/>
    </row>
    <row r="24" spans="6:11">
      <c r="F24" s="8"/>
      <c r="G24" s="8"/>
      <c r="H24" s="8"/>
      <c r="I24" s="8"/>
      <c r="J24" s="8"/>
      <c r="K24" s="8"/>
    </row>
    <row r="25" spans="6:11">
      <c r="F25" s="8"/>
      <c r="G25" s="8"/>
      <c r="H25" s="8"/>
      <c r="I25" s="8"/>
      <c r="J25" s="8"/>
      <c r="K25" s="8"/>
    </row>
    <row r="26" spans="6:11">
      <c r="F26" s="8"/>
      <c r="G26" s="8"/>
      <c r="H26" s="8"/>
      <c r="I26" s="8"/>
      <c r="J26" s="8"/>
      <c r="K26" s="8"/>
    </row>
    <row r="27" spans="6:11">
      <c r="F27" s="8"/>
      <c r="G27" s="8"/>
      <c r="H27" s="8"/>
      <c r="I27" s="8"/>
      <c r="J27" s="8"/>
      <c r="K27" s="8"/>
    </row>
    <row r="28" spans="6:11">
      <c r="F28" s="8"/>
      <c r="G28" s="8"/>
      <c r="H28" s="8"/>
      <c r="I28" s="8"/>
      <c r="J28" s="8"/>
      <c r="K28" s="8"/>
    </row>
    <row r="29" spans="6:11">
      <c r="F29" s="8"/>
      <c r="G29" s="8"/>
      <c r="H29" s="8"/>
      <c r="I29" s="8"/>
      <c r="J29" s="8"/>
      <c r="K29" s="8"/>
    </row>
  </sheetData>
  <pageMargins left="0.7" right="0.7" top="0.75" bottom="0.75" header="0.3" footer="0.3"/>
  <pageSetup paperSize="121" scale="5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Scroll Bar 1">
              <controlPr defaultSize="0" autoPict="0">
                <anchor moveWithCells="1">
                  <from>
                    <xdr:col>4</xdr:col>
                    <xdr:colOff>12700</xdr:colOff>
                    <xdr:row>4</xdr:row>
                    <xdr:rowOff>0</xdr:rowOff>
                  </from>
                  <to>
                    <xdr:col>4</xdr:col>
                    <xdr:colOff>146050</xdr:colOff>
                    <xdr:row>15</xdr:row>
                    <xdr:rowOff>25400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Irma Nia Alwijah</cp:lastModifiedBy>
  <cp:revision/>
  <dcterms:created xsi:type="dcterms:W3CDTF">2025-07-28T10:52:43Z</dcterms:created>
  <dcterms:modified xsi:type="dcterms:W3CDTF">2025-08-10T06:31:16Z</dcterms:modified>
  <cp:category/>
  <cp:contentStatus/>
</cp:coreProperties>
</file>